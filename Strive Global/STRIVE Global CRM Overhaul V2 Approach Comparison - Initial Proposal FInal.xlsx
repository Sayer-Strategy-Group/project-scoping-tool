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ption A vs Option B" sheetId="1" r:id="rId5"/>
    <sheet state="visible" name="Full CRM Reconfiguration -&gt;" sheetId="2" r:id="rId6"/>
    <sheet state="visible" name="Approach Comparison" sheetId="3" r:id="rId7"/>
    <sheet state="visible" name="Scoping Estimate" sheetId="4" r:id="rId8"/>
    <sheet state="visible" name="Risk Register" sheetId="5" r:id="rId9"/>
    <sheet state="visible" name="Assumptions &amp; Exclusions" sheetId="6" r:id="rId10"/>
    <sheet state="visible" name="CRM Foundations Configuration -" sheetId="7" r:id="rId11"/>
    <sheet state="visible" name="Scoping Estimate (1)" sheetId="8" r:id="rId12"/>
    <sheet state="visible" name="Risk Register (1)" sheetId="9" r:id="rId13"/>
    <sheet state="visible" name="Assumptions &amp; Exclusions (1)" sheetId="10" r:id="rId14"/>
  </sheets>
  <definedNames/>
  <calcPr/>
</workbook>
</file>

<file path=xl/sharedStrings.xml><?xml version="1.0" encoding="utf-8"?>
<sst xmlns="http://schemas.openxmlformats.org/spreadsheetml/2006/main" count="585" uniqueCount="394">
  <si>
    <t>STRIVE Global -- V2 Scope Comparison: Option A vs Option B</t>
  </si>
  <si>
    <t>Workstream</t>
  </si>
  <si>
    <t>Option A
Median Hrs</t>
  </si>
  <si>
    <t>Option A
Median Cost</t>
  </si>
  <si>
    <t>Option B
Median Hrs</t>
  </si>
  <si>
    <t>Option B
Median Cost</t>
  </si>
  <si>
    <t>Difference</t>
  </si>
  <si>
    <t>SHARED WORKSTREAMS (in both options)</t>
  </si>
  <si>
    <t>CRM Architecture &amp; Config Review</t>
  </si>
  <si>
    <t>--</t>
  </si>
  <si>
    <t>Pipeline Restructuring</t>
  </si>
  <si>
    <t>Contact &amp; Company Classification + Cleanup</t>
  </si>
  <si>
    <t>Deal Health Scoring &amp; Forecasting</t>
  </si>
  <si>
    <t>Reporting &amp; Dashboards</t>
  </si>
  <si>
    <t>Automations &amp; Workflows</t>
  </si>
  <si>
    <t>Email &amp; Communication Fix</t>
  </si>
  <si>
    <t>Training: Admin</t>
  </si>
  <si>
    <t>Training: End Users</t>
  </si>
  <si>
    <t>Training: Executive</t>
  </si>
  <si>
    <t>UAT, Go-Live &amp; Documentation</t>
  </si>
  <si>
    <t>Project Management (Phase 1)</t>
  </si>
  <si>
    <t>OPTION B ONLY (Phase 2 additions)</t>
  </si>
  <si>
    <t>CPQ Implementation</t>
  </si>
  <si>
    <t>+45 hrs</t>
  </si>
  <si>
    <t>Contract Management Workflows</t>
  </si>
  <si>
    <t>+11 hrs</t>
  </si>
  <si>
    <t>Data Enrichment at Scale</t>
  </si>
  <si>
    <t>+12 hrs</t>
  </si>
  <si>
    <t>Data Normalization &amp; Dedup (Extended)</t>
  </si>
  <si>
    <t>+14 hrs</t>
  </si>
  <si>
    <t>Parent-Child Structure (Broker Packs)</t>
  </si>
  <si>
    <t>+8 hrs</t>
  </si>
  <si>
    <t>Email Sequencing</t>
  </si>
  <si>
    <t>Marketing Automation Foundation</t>
  </si>
  <si>
    <t>Commission Visibility &amp; Validation</t>
  </si>
  <si>
    <t>+6 hrs</t>
  </si>
  <si>
    <t>NetSuite Integration Prep</t>
  </si>
  <si>
    <t>Bill.com Integration Prep</t>
  </si>
  <si>
    <t>Seat/License Optimization</t>
  </si>
  <si>
    <t>+3 hrs</t>
  </si>
  <si>
    <t>Advanced Reporting</t>
  </si>
  <si>
    <t>Additional Project Management (Phase 2)</t>
  </si>
  <si>
    <t>+16 hrs</t>
  </si>
  <si>
    <t>TOTALS</t>
  </si>
  <si>
    <t>+158 hrs</t>
  </si>
  <si>
    <t>SUMMARY COMPARISON</t>
  </si>
  <si>
    <t>Option A: CRM Foundation</t>
  </si>
  <si>
    <t>Option B: Full Overhaul</t>
  </si>
  <si>
    <t>Median Hours</t>
  </si>
  <si>
    <t>155</t>
  </si>
  <si>
    <t>313</t>
  </si>
  <si>
    <t>Median Cost (@$150/hr)</t>
  </si>
  <si>
    <t>$23,250</t>
  </si>
  <si>
    <t>$46,950</t>
  </si>
  <si>
    <t>Timeline</t>
  </si>
  <si>
    <t>8-10 weeks</t>
  </si>
  <si>
    <t>16-18 weeks (phased)</t>
  </si>
  <si>
    <t>Payback Period</t>
  </si>
  <si>
    <t>5-7 months</t>
  </si>
  <si>
    <t>4-7 months</t>
  </si>
  <si>
    <t>Includes CPQ</t>
  </si>
  <si>
    <t>No</t>
  </si>
  <si>
    <t>Yes (45 hrs)</t>
  </si>
  <si>
    <t>Includes Marketing</t>
  </si>
  <si>
    <t>Yes (11 hrs)</t>
  </si>
  <si>
    <t>Includes Integration Prep</t>
  </si>
  <si>
    <t>Yes (NetSuite + Bill.com)</t>
  </si>
  <si>
    <t>Includes Commission Tracking</t>
  </si>
  <si>
    <t>Yes (visibility + validation)</t>
  </si>
  <si>
    <t>Can Stand Alone</t>
  </si>
  <si>
    <t>Yes</t>
  </si>
  <si>
    <t>Yes (Phase 1 = Option A)</t>
  </si>
  <si>
    <t>Phase 2 Deferrable</t>
  </si>
  <si>
    <t>N/A</t>
  </si>
  <si>
    <t>Yes -- Phase 1 delivers value independently</t>
  </si>
  <si>
    <t>Green rows = Option B only (not included in Option A)</t>
  </si>
  <si>
    <t>STRIVE Global -- Full CRM Overhaul V2: Approach Comparison</t>
  </si>
  <si>
    <t>Dimension</t>
  </si>
  <si>
    <t>Approach A: Phased (Recommended)</t>
  </si>
  <si>
    <t>Approach B: Concurrent</t>
  </si>
  <si>
    <t>Description</t>
  </si>
  <si>
    <t>Phase 1: CRM Foundation (weeks 1-8) -- pipeline, contacts, dashboards, automations. Phase 2: CPQ, enrichment, integrations, marketing (weeks 9-18). Each phase delivers standalone value.</t>
  </si>
  <si>
    <t>All workstreams in parallel across 12-14 weeks. Maximum resource intensity.</t>
  </si>
  <si>
    <t>Total Hours (Median)</t>
  </si>
  <si>
    <t>313 hrs across two phases</t>
  </si>
  <si>
    <t>313 hrs compressed</t>
  </si>
  <si>
    <t>16-18 weeks (Phase 1: 8-10 wks + Phase 2: 8-10 wks)</t>
  </si>
  <si>
    <t>12-14 weeks</t>
  </si>
  <si>
    <t>Risk Level</t>
  </si>
  <si>
    <t>LOW -- Phase 1 de-risks Phase 2; clean data enables CPQ accuracy</t>
  </si>
  <si>
    <t>HIGH -- dirty data undermines CPQ and reporting; multiple moving parts</t>
  </si>
  <si>
    <t>Adoption Impact</t>
  </si>
  <si>
    <t>Team absorbs changes gradually; builds confidence before CPQ launch</t>
  </si>
  <si>
    <t>All-at-once change; higher cognitive load</t>
  </si>
  <si>
    <t>Change Management</t>
  </si>
  <si>
    <t>Two training cycles; Phase 1 habits established before Phase 2</t>
  </si>
  <si>
    <t>Single push covering all features</t>
  </si>
  <si>
    <t>Dependency Risk</t>
  </si>
  <si>
    <t>LOW -- Phase 2 depends on Phase 1, but Phase 1 is self-contained</t>
  </si>
  <si>
    <t>HIGH -- CPQ depends on clean pipeline AND contact data simultaneously</t>
  </si>
  <si>
    <t>Client Resource Demand</t>
  </si>
  <si>
    <t>Spread over 18 weeks; manageable alongside day-to-day</t>
  </si>
  <si>
    <t>Concentrated in 14 weeks; significant time commitment</t>
  </si>
  <si>
    <t>Board Reporting Value</t>
  </si>
  <si>
    <t>Phase 1 dashboards by week 8; full CPQ and advanced reporting by week 18</t>
  </si>
  <si>
    <t>Full suite by week 14 if everything goes to plan</t>
  </si>
  <si>
    <t>Cost</t>
  </si>
  <si>
    <t>$46,950 (median at $150/hr)</t>
  </si>
  <si>
    <t>Budget Flexibility</t>
  </si>
  <si>
    <t>Can pause after Phase 1 ($23,250) if budget constrained</t>
  </si>
  <si>
    <t>Full commitment required upfront</t>
  </si>
  <si>
    <t>Recommendation</t>
  </si>
  <si>
    <t>Approach A: Phased is strongly recommended. STRIVE's data quality issues make concurrent approach risky -- CPQ built on dirty data produces inaccurate quotes. Phase 1 delivers immediate operational value and can stand alone if Phase 2 is deferred. Estimates calibrated against prior comparable Salesforce engagement and HubSpot industry benchmarks (CPQ: 40-60 hrs industry standard).</t>
  </si>
  <si>
    <t>Hourly Rate:</t>
  </si>
  <si>
    <t>Min Hours</t>
  </si>
  <si>
    <t>Max Hours</t>
  </si>
  <si>
    <t>Rate</t>
  </si>
  <si>
    <t>Min Cost</t>
  </si>
  <si>
    <t>Max Cost</t>
  </si>
  <si>
    <t>Median Cost</t>
  </si>
  <si>
    <t>Notes / Assumptions</t>
  </si>
  <si>
    <t>Actual Hours</t>
  </si>
  <si>
    <t>Actual Cost</t>
  </si>
  <si>
    <t>Variance</t>
  </si>
  <si>
    <t>PHASE 1: CRM FOUNDATION (Weeks 1-8)</t>
  </si>
  <si>
    <t>Portal audit, user roles, permissions, team structure, 3-hub assessment, seat review.</t>
  </si>
  <si>
    <t>Pre-pipeline separation, partner/client categories, stage probabilities, required fields, Contracting stage, auto-transitions, deal age reset.</t>
  </si>
  <si>
    <t>Contact taxonomy, AI enrichment pilot + full run, normalization, dedup, association fixes, duplicate protection.</t>
  </si>
  <si>
    <t>10 yrs uncoded data. Industry: $5K-$15K for cleanup. Conservative with AI.</t>
  </si>
  <si>
    <t>Deal score formula, healthy/at-risk/stale, standardized close reasons, forecasting views.</t>
  </si>
  <si>
    <t>Scoring defined collaboratively.</t>
  </si>
  <si>
    <t>Full normalization, advanced dedup, merge strategy, ongoing protection.</t>
  </si>
  <si>
    <t>Extends Phase 1 cleanup comprehensively.</t>
  </si>
  <si>
    <t>Association labels, per-broker forms, auto child contact creation, list generation.</t>
  </si>
  <si>
    <t>Enables microsite-to-app expansion. Depends on form link from Andrea.</t>
  </si>
  <si>
    <t>Outlook fix, lead source, form-to-CRM, stage notifications, dup protection, pre-pipeline transitions.</t>
  </si>
  <si>
    <t>Up to 10 workflows.</t>
  </si>
  <si>
    <t>Partner, seller, CEO/board, pipeline health dashboards. 15 custom reports. Scheduled exports.</t>
  </si>
  <si>
    <t>Outlook audit/fix, association rules, domain exclusions.</t>
  </si>
  <si>
    <t>Root cause week 1.</t>
  </si>
  <si>
    <t>Andrea + admin. Pipeline, reporting, workflows, data hygiene.</t>
  </si>
  <si>
    <t>1-2 sessions recorded.</t>
  </si>
  <si>
    <t>Sales team. CRM usage, deals, activity, dashboards, mobile.</t>
  </si>
  <si>
    <t>2-3 sessions.</t>
  </si>
  <si>
    <t>Jodi. Board dashboard, forecasting, scheduling.</t>
  </si>
  <si>
    <t>1 session.</t>
  </si>
  <si>
    <t>UAT, Go-Live &amp; Documentation (Phase 1)</t>
  </si>
  <si>
    <t>Test scripts, 2 UAT sessions, bug fixes, admin + user guide, 2-week hypercare.</t>
  </si>
  <si>
    <t>Kickoff, weekly syncs, status updates, scope control.</t>
  </si>
  <si>
    <t>Phase 1 Subtotal</t>
  </si>
  <si>
    <t>PHASE 2: CPQ, ENRICHMENT &amp; INTEGRATIONS (Weeks 9-18)</t>
  </si>
  <si>
    <t>Product library (apps, microsites, AI, packs, Divi, bundles). Quote templates. E-signatures. Reminders. Multiple pricing models (license+rev share, flat, bundles/discounts).</t>
  </si>
  <si>
    <t>Industry benchmark: 40-60 hrs for CPQ rollout (Process Pro Consulting). Multiple pricing models add complexity. V1 was 18 hrs -- significantly under-scoped.</t>
  </si>
  <si>
    <t>Quote-to-contract automation. Status tracking. Renewal/expiry workflows. Replaces manual DocuSign through COO.</t>
  </si>
  <si>
    <t>Contract templates, status properties, auto-advance on signature.</t>
  </si>
  <si>
    <t>Full database Breeze AI enrichment. Auto-enrichment for inbound. QA and validation.</t>
  </si>
  <si>
    <t>Extends Phase 1 pilot to full database. Includes QA cycle.</t>
  </si>
  <si>
    <t>Broker prospecting, microsite-to-app expansion. 4 sequences + enrollment + reporting.</t>
  </si>
  <si>
    <t>HubSpot Enterprise sequences included in license.</t>
  </si>
  <si>
    <t>Newsletter template, 2-3 segmented campaigns, compliance.</t>
  </si>
  <si>
    <t>Leverages Marketing Hub (already licensed).</t>
  </si>
  <si>
    <t>CRM-based commission view, validation workflow for Jodi.</t>
  </si>
  <si>
    <t>Visibility only -- not full calculation engine.</t>
  </si>
  <si>
    <t>Data readiness, field mapping, gap analysis. PREP ONLY.</t>
  </si>
  <si>
    <t>Does NOT include API build. Separate SOW required.</t>
  </si>
  <si>
    <t>AR/AP field mapping, data readiness. PREP ONLY.</t>
  </si>
  <si>
    <t>Does NOT include build. Separate SOW.</t>
  </si>
  <si>
    <t>Audit 23 seats, identify waste, cost savings memo.</t>
  </si>
  <si>
    <t>Deliverable: cost savings recommendation.</t>
  </si>
  <si>
    <t>Automated board reports, pipeline coverage, pace-to-goal, marketing ROI.</t>
  </si>
  <si>
    <t>Extends Phase 1 dashboards with Phase 2 data.</t>
  </si>
  <si>
    <t>Additional Project Management</t>
  </si>
  <si>
    <t>Phase 2 PM, weekly syncs, milestone reviews.</t>
  </si>
  <si>
    <t>~12% of Phase 2 hours.</t>
  </si>
  <si>
    <t>Phase 2 Subtotal</t>
  </si>
  <si>
    <t>OPTIONAL ADD-ON</t>
  </si>
  <si>
    <t>Client Success Pipeline (Optional)</t>
  </si>
  <si>
    <t>Client health tracking, health score properties, renewal tracking. Requires CS team discovery.</t>
  </si>
  <si>
    <t>Not in project total. Requires separate CS discovery.</t>
  </si>
  <si>
    <t>PROJECT TOTAL (Phase 1 + Phase 2)</t>
  </si>
  <si>
    <t>#</t>
  </si>
  <si>
    <t>Risk</t>
  </si>
  <si>
    <t>Severity</t>
  </si>
  <si>
    <t>Likelihood</t>
  </si>
  <si>
    <t>Impact</t>
  </si>
  <si>
    <t>Mitigation</t>
  </si>
  <si>
    <t>Owner</t>
  </si>
  <si>
    <t>Status</t>
  </si>
  <si>
    <t>10 years uncoded contact data -- enrichment may exceed estimates</t>
  </si>
  <si>
    <t>HIGH</t>
  </si>
  <si>
    <t>Cleanup 2-3x estimate; CPQ associations unreliable</t>
  </si>
  <si>
    <t>Pilot 500 records in Phase 1. Budget 30% buffer.</t>
  </si>
  <si>
    <t>Consultant + Andrea</t>
  </si>
  <si>
    <t>Open</t>
  </si>
  <si>
    <t>Pipeline under-reporting -- reps on LinkedIn</t>
  </si>
  <si>
    <t>Forecast unreliable; CPQ adoption depends on deal entry</t>
  </si>
  <si>
    <t>Jodi mandates CRM usage. Board briefed on pipeline increase.</t>
  </si>
  <si>
    <t>Jodi</t>
  </si>
  <si>
    <t>Scope creep from close relationship</t>
  </si>
  <si>
    <t>MEDIUM</t>
  </si>
  <si>
    <t>Informal requests; budget overrun on 18-week engagement</t>
  </si>
  <si>
    <t>Formal SOW. Weekly hours tracking. Change request process.</t>
  </si>
  <si>
    <t>Consultant + Jodi</t>
  </si>
  <si>
    <t>Board ROI expectations</t>
  </si>
  <si>
    <t>Unrealistic timeline expectations</t>
  </si>
  <si>
    <t>Conservative ranges. 90-day check-in after Phase 1.</t>
  </si>
  <si>
    <t>CPQ product library complexity</t>
  </si>
  <si>
    <t>HubSpot CPQ may not handle all pricing models natively</t>
  </si>
  <si>
    <t>Audit 5 recent quotes before build. Confirm Enterprise CPQ handles rev share.</t>
  </si>
  <si>
    <t>Consultant</t>
  </si>
  <si>
    <t>Seat/license confusion</t>
  </si>
  <si>
    <t>Paying for unused seats; CPQ may need specific seats</t>
  </si>
  <si>
    <t>License audit week 1. Cost savings memo.</t>
  </si>
  <si>
    <t>NetSuite/Bill.com scope bleed</t>
  </si>
  <si>
    <t>Prep becomes build without budget</t>
  </si>
  <si>
    <t>Explicit boundary: prep only. Build = separate SOW.</t>
  </si>
  <si>
    <t>Adoption risk</t>
  </si>
  <si>
    <t>CRM + CPQ unused; ROI unrealized</t>
  </si>
  <si>
    <t>Executive mandate. Rep dashboards. Sequences reduce manual work.</t>
  </si>
  <si>
    <t>Jodi + Andrea</t>
  </si>
  <si>
    <t>Outlook email logging defect</t>
  </si>
  <si>
    <t>LOW</t>
  </si>
  <si>
    <t>HubSpot support escalation timeline</t>
  </si>
  <si>
    <t>Diagnose week 1. Open ticket if needed.</t>
  </si>
  <si>
    <t>COO ambiguity</t>
  </si>
  <si>
    <t>Admin access issues</t>
  </si>
  <si>
    <t>Clarify at kickoff.</t>
  </si>
  <si>
    <t>Scope Assumptions</t>
  </si>
  <si>
    <t>HubSpot Sales Hub Enterprise (existing instance -- reconfiguration)</t>
  </si>
  <si>
    <t>Up to 23 licensed users across core, sales, and service seats</t>
  </si>
  <si>
    <t>Outlook as primary email platform</t>
  </si>
  <si>
    <t>Up to 40 custom properties (expanded for CPQ and enrichment)</t>
  </si>
  <si>
    <t>1 active sales pipeline with pre-pipeline separated</t>
  </si>
  <si>
    <t>2 deal categories: partner-level and client-level</t>
  </si>
  <si>
    <t>Stage probability mapping using Jodi's framework</t>
  </si>
  <si>
    <t>AI enrichment using HubSpot Breeze credits (5-10K)</t>
  </si>
  <si>
    <t>Up to 12 automated workflows</t>
  </si>
  <si>
    <t>4-5 dashboards with up to 20 custom reports</t>
  </si>
  <si>
    <t>Complete product/pricing inventory provided before CPQ build</t>
  </si>
  <si>
    <t>CPQ hours based on industry benchmark of 40-60 hrs (Process Pro Consulting)</t>
  </si>
  <si>
    <t>Marketing Hub leveraged for campaigns (already licensed)</t>
  </si>
  <si>
    <t>16-18 week phased timeline</t>
  </si>
  <si>
    <t>Phase 1 can stand alone if Phase 2 deferred</t>
  </si>
  <si>
    <t>Estimates calibrated against prior Salesforce engagement and industry benchmarks</t>
  </si>
  <si>
    <t>All work conducted remotely</t>
  </si>
  <si>
    <t>Scope changes via formal change request</t>
  </si>
  <si>
    <t>Out of Scope</t>
  </si>
  <si>
    <t>NetSuite integration build (prep only)</t>
  </si>
  <si>
    <t>Bill.com integration build (prep only)</t>
  </si>
  <si>
    <t>Client Success pipeline (optional add-on)</t>
  </si>
  <si>
    <t>Full commission calculation engine</t>
  </si>
  <si>
    <t>Custom API development beyond HubSpot native</t>
  </si>
  <si>
    <t>Other CRMs</t>
  </si>
  <si>
    <t>External data migration</t>
  </si>
  <si>
    <t>Managed services beyond hypercare per phase</t>
  </si>
  <si>
    <t>License procurement</t>
  </si>
  <si>
    <t>AI knowledge assistant</t>
  </si>
  <si>
    <t>LinkedIn Navigator integration</t>
  </si>
  <si>
    <t>Client Responsibilities</t>
  </si>
  <si>
    <t>Designate primary POC (Andrea)</t>
  </si>
  <si>
    <t>Jodi + Andrea availability for sessions</t>
  </si>
  <si>
    <t>Complete product/pricing inventory before Phase 2 CPQ</t>
  </si>
  <si>
    <t>Contact classification rules and enrichment validation</t>
  </si>
  <si>
    <t>Deal stage definitions and probability framework</t>
  </si>
  <si>
    <t>Close won/lost reason categories</t>
  </si>
  <si>
    <t>Mandate CRM usage (Jodi exec sponsorship)</t>
  </si>
  <si>
    <t>Share 3-5 recent quotes across deal types</t>
  </si>
  <si>
    <t>UAT testing per phase</t>
  </si>
  <si>
    <t>HubSpot admin access</t>
  </si>
  <si>
    <t>NetSuite admin contact for integration prep</t>
  </si>
  <si>
    <t>Commission validation requirements</t>
  </si>
  <si>
    <t>Open Items</t>
  </si>
  <si>
    <t>Contact/company/deal record counts (pending access)</t>
  </si>
  <si>
    <t>Product/pricing inventory for CPQ</t>
  </si>
  <si>
    <t>Service Hub usage</t>
  </si>
  <si>
    <t>COO identity and admin access</t>
  </si>
  <si>
    <t>Outlook defect root cause</t>
  </si>
  <si>
    <t>Existing workflow inventory</t>
  </si>
  <si>
    <t>Historical deal data reliability</t>
  </si>
  <si>
    <t>Microsite form link</t>
  </si>
  <si>
    <t>NetSuite entity structure</t>
  </si>
  <si>
    <t>SOW signing authority</t>
  </si>
  <si>
    <t>Divi positioning</t>
  </si>
  <si>
    <t>STRIVE Global -- CRM Foundation V2: Approach Comparison</t>
  </si>
  <si>
    <t>Approach A: Foundation First (Recommended)</t>
  </si>
  <si>
    <t>Approach B: Quick Wins First</t>
  </si>
  <si>
    <t>Data cleanup and contact classification first (weeks 1-5), then pipeline restructuring and dashboards (weeks 6-10). Build on clean foundation.</t>
  </si>
  <si>
    <t>Pipeline restructuring and dashboards first (weeks 1-5), then data cleanup and enrichment (weeks 6-10). Deliver visible wins early.</t>
  </si>
  <si>
    <t>155 hrs</t>
  </si>
  <si>
    <t>LOW -- clean data enables accurate dashboards from day one</t>
  </si>
  <si>
    <t>MEDIUM -- dashboards built on dirty data show misleading metrics initially</t>
  </si>
  <si>
    <t>Slower initial visibility but higher trust in data when dashboards launch</t>
  </si>
  <si>
    <t>Faster dashboard delivery but reps may distrust inaccurate early reports</t>
  </si>
  <si>
    <t>Gradual -- team sees data improving before process changes</t>
  </si>
  <si>
    <t>Immediate -- team gets new pipeline and dashboards right away</t>
  </si>
  <si>
    <t>LOW -- data cleanup is independent of other workstreams</t>
  </si>
  <si>
    <t>MEDIUM -- dashboards depend on data quality for accuracy</t>
  </si>
  <si>
    <t>Higher upfront (contact exports, classification rules, validation)</t>
  </si>
  <si>
    <t>Lower upfront but higher mid-project for data cleanup</t>
  </si>
  <si>
    <t>Clean, trustworthy reports available by week 8</t>
  </si>
  <si>
    <t>Reports available by week 5 but accuracy improves through week 10</t>
  </si>
  <si>
    <t>$23,250 (median at $150/hr)</t>
  </si>
  <si>
    <t>Approach A: Foundation First is recommended. STRIVE has 10 years of uncoded contact data and unreliable pipeline metrics. Building dashboards on dirty data risks eroding trust in the CRM. Clean the data first, then deliver dashboards the team and board can trust from day one. This also aligns with Jodi's emphasis on building a strong data infrastructure as the foundation for future AI capabilities.</t>
  </si>
  <si>
    <t>Portal audit, user roles/permissions, team structure reconfig. Seat/license review across 3 hubs (sales, marketing, service). Enterprise instance complexity assessment.</t>
  </si>
  <si>
    <t>Wagmo comparable: 14 hrs discovery. HubSpot simpler than SFDC but 3-hub Enterprise with 23 seats adds complexity.</t>
  </si>
  <si>
    <t>Separate pre-pipeline from active pipeline. Partner-level vs. client-level deal categories. Stage probability mapping (5/20/40/50/60/80/90/100). Required fields per stage. Add Contracting stage. Auto-transition workflows with deal age reset.</t>
  </si>
  <si>
    <t>Wagmo benchmark: 36 hrs for simpler Salesforce pipeline. HubSpot offset: -20%. Strive complexity premium: +40% (2 categories, pre-pipeline, probabilities, auto-transitions). Net: ~24 hrs median.</t>
  </si>
  <si>
    <t>Contact type taxonomy (client/prospect/broker/partner). AI enrichment pilot (500 records) then full run using HubSpot Breeze credits. Normalization, deduplication, association fixes. Duplicate protection rules.</t>
  </si>
  <si>
    <t>10 years uncoded data. Industry benchmark: $5K-$15K for cleanup = 33-100 hrs at $150. Conservative estimate with AI acceleration. +30-50% data quality premium.</t>
  </si>
  <si>
    <t>Deal score: stage + time-in-stage + activity recency. Healthy/at-risk/stale classification. Standardized close won/lost reasons (categorized dropdowns replacing free-form). Forecasting views.</t>
  </si>
  <si>
    <t>Scoring formula and thresholds defined collaboratively. Close reason categories defined before implementation.</t>
  </si>
  <si>
    <t>Partner dashboard (clonable, quick filters). Seller KPI dashboard. CEO/board dashboard (bookings, pipeline coverage, win rate, deal age). Pipeline health dashboard. Up to 15 custom reports.</t>
  </si>
  <si>
    <t>Wagmo benchmark: 20 hrs for 2 dashboards + 6 reports. Strive needs 4 dashboards + 15 reports. AI accelerates report logic but iteration cycles take time.</t>
  </si>
  <si>
    <t>Fix Outlook email logging issue. Lead source tracking automation. Form-to-CRM for microsite client capture. Deal stage-change notifications. Duplicate protection rules. Pre-pipeline auto-transition.</t>
  </si>
  <si>
    <t>Up to 10 automated workflows (increased from 8). Outlook fix may require HubSpot support ticket. Includes pre-pipeline transition automation.</t>
  </si>
  <si>
    <t>Outlook integration audit and fix. Email association rules to prevent logging to all related deals. Domain exclusions for internal communications.</t>
  </si>
  <si>
    <t>Root cause diagnosis week 1. If config fix: 2-4 hrs. If platform bug: HubSpot support escalation.</t>
  </si>
  <si>
    <t>Andrea + designated admin. Pipeline management, reporting, workflow admin, data hygiene, enrichment tools.</t>
  </si>
  <si>
    <t>Wagmo training was minimal (2.5 hrs total). Strive needs proper formal sessions. 1-2 sessions with recording.</t>
  </si>
  <si>
    <t>Sales team. Daily CRM usage, deal entry, activity logging, dashboard consumption, mobile app.</t>
  </si>
  <si>
    <t>2-3 sessions. Emphasis on showing reps how CRM data benefits them.</t>
  </si>
  <si>
    <t>Jodi. Board dashboard walkthrough, forecast consumption, report scheduling, export for board decks.</t>
  </si>
  <si>
    <t>1 session focused on board reporting.</t>
  </si>
  <si>
    <t>Test scripts, 2 UAT sessions with key stakeholders, bug fix window, go-live cutover plan. Admin guide + user guide. 2-week hypercare.</t>
  </si>
  <si>
    <t>Wagmo testing: 7 hrs. Add documentation deliverables and hypercare setup. Formal test scripts not done at Wagmo.</t>
  </si>
  <si>
    <t>Project Management</t>
  </si>
  <si>
    <t>Kickoff, weekly syncs, status updates, change management, milestone reviews. Scope creep prevention.</t>
  </si>
  <si>
    <t>~12% of total. Wagmo lesson: zero formal PM led to scope creep. This prevents that.</t>
  </si>
  <si>
    <t>TOTAL</t>
  </si>
  <si>
    <t>10 years of uncoded contact data -- AI enrichment scope may exceed estimates</t>
  </si>
  <si>
    <t>Data cleanup takes 2-3x estimate; marketing segmentation delayed; project timeline extends</t>
  </si>
  <si>
    <t>Run AI enrichment pilot on 500 records first. Measure classification accuracy before full run. Budget 30% buffer.</t>
  </si>
  <si>
    <t>Pipeline under-reporting -- reps using LinkedIn and manual quoting outside CRM</t>
  </si>
  <si>
    <t>Forecasting unreliable during transition; board sees pipeline dip before improvement</t>
  </si>
  <si>
    <t>Jodi mandates CRM usage pre-launch. Set data entry expectations. Brief board that reported pipeline will increase as capture improves.</t>
  </si>
  <si>
    <t>Jodi (executive sponsor)</t>
  </si>
  <si>
    <t>Scope creep from close business relationship</t>
  </si>
  <si>
    <t>Informal requests bypass SOW; hours consumed without authorization; budget overrun</t>
  </si>
  <si>
    <t>SOW signed by budget authority. All change requests documented formally. Weekly hours tracking visible to client. Lesson learned from prior engagement.</t>
  </si>
  <si>
    <t>Board ROI expectations overpromise</t>
  </si>
  <si>
    <t>Board approves but expects unrealistic timeline or savings; sets up failure</t>
  </si>
  <si>
    <t>ROI narrative uses conservative estimates with ranges. 90-day KPI check-in.</t>
  </si>
  <si>
    <t>Seat/license confusion -- mixed versions, unused seats</t>
  </si>
  <si>
    <t>Paying for unused seats; features expected but unavailable</t>
  </si>
  <si>
    <t>License audit in week 1. Cost savings memo before configuration work.</t>
  </si>
  <si>
    <t>Adoption risk -- reps prefer LinkedIn</t>
  </si>
  <si>
    <t>New CRM configuration goes unused; ROI unrealized</t>
  </si>
  <si>
    <t>Executive mandate. Make CRM easier than alternatives. Rep-level dashboards.</t>
  </si>
  <si>
    <t>Fix may require HubSpot support escalation with unknown timeline</t>
  </si>
  <si>
    <t>Diagnose week 1. Open HubSpot ticket if platform bug.</t>
  </si>
  <si>
    <t>COO identity ambiguity (Lauren vs. Zach Beegal)</t>
  </si>
  <si>
    <t>Miscommunication on stakeholder authority</t>
  </si>
  <si>
    <t>Clarify org chart at kickoff.</t>
  </si>
  <si>
    <t>HubSpot Sales Hub Enterprise (existing instance -- reconfiguration, not net-new)</t>
  </si>
  <si>
    <t>Up to 23 licensed users across 3 core, 10 sales, and 10 service seats</t>
  </si>
  <si>
    <t>Outlook as primary email platform (with known logging defect to be resolved)</t>
  </si>
  <si>
    <t>Up to 30 custom contact/company properties</t>
  </si>
  <si>
    <t>2 deal categories: partner-level and client-level (same stages, different segmentation)</t>
  </si>
  <si>
    <t>Stage probability mapping using Jodi's framework (5/20/40/50/60/80/90/100)</t>
  </si>
  <si>
    <t>Contact type classification: client, prospect, broker, partner</t>
  </si>
  <si>
    <t>AI enrichment using HubSpot Breeze credits (5-10K credits available)</t>
  </si>
  <si>
    <t>Up to 10 automated workflows</t>
  </si>
  <si>
    <t>4 reporting dashboards with up to 15 custom reports</t>
  </si>
  <si>
    <t>8-10 week implementation timeline</t>
  </si>
  <si>
    <t>All work conducted remotely unless otherwise agreed</t>
  </si>
  <si>
    <t>Estimates calibrated against prior comparable engagement (Wagmo/Salesforce) and industry benchmarks</t>
  </si>
  <si>
    <t>Any scope changes managed through formal change request and may impact cost or timing</t>
  </si>
  <si>
    <t>CPQ / quoting / product library build (see Option B: Full CRM Overhaul)</t>
  </si>
  <si>
    <t>Email sequencing or sales cadence automation</t>
  </si>
  <si>
    <t>Marketing automation (newsletters, campaigns, landing pages)</t>
  </si>
  <si>
    <t>NetSuite, Bill.com, or any ERP/financial system integration</t>
  </si>
  <si>
    <t>Client Success pipeline or client health scoring</t>
  </si>
  <si>
    <t>Commission tracking or calculation automation</t>
  </si>
  <si>
    <t>Contract management or e-signature workflows</t>
  </si>
  <si>
    <t>Custom API development or middleware (n8n/Zapier)</t>
  </si>
  <si>
    <t>Data migration from external systems (HubSpot internal cleanup only)</t>
  </si>
  <si>
    <t>Ongoing managed services beyond 2-week hypercare</t>
  </si>
  <si>
    <t>HubSpot license procurement or tier changes</t>
  </si>
  <si>
    <t>Designate primary point of contact (Andrea recommended)</t>
  </si>
  <si>
    <t>Ensure Jodi and Andrea availability for discovery, UAT, and training sessions</t>
  </si>
  <si>
    <t>Provide contact classification rules and validate AI enrichment results</t>
  </si>
  <si>
    <t>Confirm deal stage definitions and probability framework before pipeline build</t>
  </si>
  <si>
    <t>Communicate standardized close won/lost reason categories</t>
  </si>
  <si>
    <t>Mandate CRM usage across sales team (executive sponsorship from Jodi)</t>
  </si>
  <si>
    <t>Complete UAT testing within agreed timeline</t>
  </si>
  <si>
    <t>Provide access to HubSpot admin portal</t>
  </si>
  <si>
    <t>Share 3-5 recent quotes/proposals for reference</t>
  </si>
  <si>
    <t>Exact contact/company/deal record counts (pending portal access)</t>
  </si>
  <si>
    <t>Service Hub usage details -- preserve or deprecate?</t>
  </si>
  <si>
    <t>COO identity and HubSpot admin access ownership</t>
  </si>
  <si>
    <t>Outlook email logging defect root cause</t>
  </si>
  <si>
    <t>Historical deal data reliability for probability calibration</t>
  </si>
  <si>
    <t>Microsite client intake form link from Andrea</t>
  </si>
  <si>
    <t>SOW signing authority (CEO or board)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</si>
</sst>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
  </numFmts>
  <fonts count="12">
    <font>
      <sz val="10.0"/>
      <color rgb="FF000000"/>
      <name val="Calibri"/>
      <scheme val="minor"/>
    </font>
    <font>
      <b/>
      <sz val="14.0"/>
      <color rgb="FF1F4E79"/>
      <name val="Arial"/>
    </font>
    <font>
      <b/>
      <sz val="11.0"/>
      <color rgb="FFFFFFFF"/>
      <name val="Arial"/>
    </font>
    <font>
      <b/>
      <sz val="10.0"/>
      <color rgb="FF1F4E79"/>
      <name val="Arial"/>
    </font>
    <font>
      <sz val="10.0"/>
      <color theme="1"/>
      <name val="Arial"/>
    </font>
    <font>
      <b/>
      <sz val="11.0"/>
      <color rgb="FF1F4E79"/>
      <name val="Arial"/>
    </font>
    <font>
      <b/>
      <sz val="12.0"/>
      <color rgb="FF1F4E79"/>
      <name val="Arial"/>
    </font>
    <font>
      <i/>
      <sz val="9.0"/>
      <color rgb="FF548235"/>
      <name val="Arial"/>
    </font>
    <font>
      <b/>
      <sz val="10.0"/>
      <color theme="1"/>
      <name val="Arial"/>
    </font>
    <font>
      <color theme="1"/>
      <name val="Calibri"/>
      <scheme val="minor"/>
    </font>
    <font>
      <b/>
      <sz val="10.0"/>
      <color rgb="FF548235"/>
      <name val="Arial"/>
    </font>
    <font>
      <sz val="11.0"/>
      <color theme="1"/>
      <name val="Calibri"/>
    </font>
  </fonts>
  <fills count="10">
    <fill>
      <patternFill patternType="none"/>
    </fill>
    <fill>
      <patternFill patternType="lightGray"/>
    </fill>
    <fill>
      <patternFill patternType="solid">
        <fgColor rgb="FF1F4E79"/>
        <bgColor rgb="FF1F4E79"/>
      </patternFill>
    </fill>
    <fill>
      <patternFill patternType="solid">
        <fgColor rgb="FFF2F2F2"/>
        <bgColor rgb="FFF2F2F2"/>
      </patternFill>
    </fill>
    <fill>
      <patternFill patternType="solid">
        <fgColor rgb="FFE2EFDA"/>
        <bgColor rgb="FFE2EFDA"/>
      </patternFill>
    </fill>
    <fill>
      <patternFill patternType="solid">
        <fgColor rgb="FFDAEEF3"/>
        <bgColor rgb="FFDAEEF3"/>
      </patternFill>
    </fill>
    <fill>
      <patternFill patternType="solid">
        <fgColor rgb="FF548235"/>
        <bgColor rgb="FF548235"/>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0" fillId="0" fontId="3" numFmtId="0" xfId="0" applyFont="1"/>
    <xf borderId="1" fillId="0" fontId="4" numFmtId="0" xfId="0" applyAlignment="1" applyBorder="1" applyFont="1">
      <alignment horizontal="left" shrinkToFit="0" vertical="center" wrapText="1"/>
    </xf>
    <xf borderId="1" fillId="0" fontId="4" numFmtId="0" xfId="0" applyAlignment="1" applyBorder="1" applyFont="1">
      <alignment horizontal="center" shrinkToFit="0" vertical="center" wrapText="1"/>
    </xf>
    <xf borderId="1" fillId="0" fontId="4" numFmtId="164" xfId="0" applyAlignment="1" applyBorder="1" applyFont="1" applyNumberFormat="1">
      <alignment horizontal="center" shrinkToFit="0" vertical="center" wrapText="1"/>
    </xf>
    <xf borderId="1" fillId="3" fontId="4" numFmtId="0" xfId="0" applyAlignment="1" applyBorder="1" applyFill="1" applyFont="1">
      <alignment horizontal="left" shrinkToFit="0" vertical="center" wrapText="1"/>
    </xf>
    <xf borderId="1" fillId="3" fontId="4" numFmtId="0" xfId="0" applyAlignment="1" applyBorder="1" applyFont="1">
      <alignment horizontal="center" shrinkToFit="0" vertical="center" wrapText="1"/>
    </xf>
    <xf borderId="1" fillId="3" fontId="4" numFmtId="164" xfId="0" applyAlignment="1" applyBorder="1" applyFont="1" applyNumberFormat="1">
      <alignment horizontal="center" shrinkToFit="0" vertical="center" wrapText="1"/>
    </xf>
    <xf borderId="1" fillId="4" fontId="4" numFmtId="0" xfId="0" applyAlignment="1" applyBorder="1" applyFill="1" applyFont="1">
      <alignment horizontal="left" shrinkToFit="0" vertical="center" wrapText="1"/>
    </xf>
    <xf borderId="1" fillId="4" fontId="4" numFmtId="0" xfId="0" applyAlignment="1" applyBorder="1" applyFont="1">
      <alignment horizontal="center" shrinkToFit="0" vertical="center" wrapText="1"/>
    </xf>
    <xf borderId="1" fillId="4" fontId="4" numFmtId="164" xfId="0" applyAlignment="1" applyBorder="1" applyFont="1" applyNumberFormat="1">
      <alignment horizontal="center" shrinkToFit="0" vertical="center" wrapText="1"/>
    </xf>
    <xf borderId="1" fillId="0" fontId="5" numFmtId="0" xfId="0" applyBorder="1" applyFont="1"/>
    <xf borderId="1" fillId="0" fontId="5" numFmtId="0" xfId="0" applyAlignment="1" applyBorder="1" applyFont="1">
      <alignment horizontal="center" shrinkToFit="0" vertical="center" wrapText="1"/>
    </xf>
    <xf borderId="1" fillId="0" fontId="5" numFmtId="164" xfId="0" applyAlignment="1" applyBorder="1" applyFont="1" applyNumberFormat="1">
      <alignment horizontal="center" shrinkToFit="0" vertical="center" wrapText="1"/>
    </xf>
    <xf borderId="0" fillId="0" fontId="6" numFmtId="0" xfId="0" applyFont="1"/>
    <xf borderId="1" fillId="2" fontId="2" numFmtId="0" xfId="0" applyAlignment="1" applyBorder="1" applyFont="1">
      <alignment shrinkToFit="0" vertical="center" wrapText="1"/>
    </xf>
    <xf borderId="1" fillId="0" fontId="4" numFmtId="0" xfId="0" applyAlignment="1" applyBorder="1" applyFont="1">
      <alignment shrinkToFit="0" vertical="center" wrapText="1"/>
    </xf>
    <xf borderId="1" fillId="3" fontId="4" numFmtId="0" xfId="0" applyAlignment="1" applyBorder="1" applyFont="1">
      <alignment shrinkToFit="0" vertical="center" wrapText="1"/>
    </xf>
    <xf borderId="0" fillId="0" fontId="7" numFmtId="0" xfId="0" applyFont="1"/>
    <xf borderId="1" fillId="0" fontId="4" numFmtId="0" xfId="0" applyAlignment="1" applyBorder="1" applyFont="1">
      <alignment shrinkToFit="0" vertical="top" wrapText="1"/>
    </xf>
    <xf borderId="1" fillId="3" fontId="4" numFmtId="0" xfId="0" applyAlignment="1" applyBorder="1" applyFont="1">
      <alignment shrinkToFit="0" vertical="top" wrapText="1"/>
    </xf>
    <xf borderId="0" fillId="0" fontId="5" numFmtId="0" xfId="0" applyFont="1"/>
    <xf borderId="0" fillId="0" fontId="4" numFmtId="0" xfId="0" applyAlignment="1" applyFont="1">
      <alignment shrinkToFit="0" vertical="top" wrapText="1"/>
    </xf>
    <xf borderId="0" fillId="0" fontId="8" numFmtId="0" xfId="0" applyFont="1"/>
    <xf borderId="2" fillId="5" fontId="8" numFmtId="164" xfId="0" applyBorder="1" applyFill="1" applyFont="1" applyNumberFormat="1"/>
    <xf borderId="1" fillId="6" fontId="2" numFmtId="0" xfId="0" applyAlignment="1" applyBorder="1" applyFill="1" applyFont="1">
      <alignment horizontal="center" shrinkToFit="0" vertical="center" wrapText="1"/>
    </xf>
    <xf borderId="1" fillId="0" fontId="4" numFmtId="164" xfId="0" applyAlignment="1" applyBorder="1" applyFont="1" applyNumberFormat="1">
      <alignment shrinkToFit="0" vertical="top" wrapText="1"/>
    </xf>
    <xf borderId="1" fillId="4" fontId="4" numFmtId="0" xfId="0" applyBorder="1" applyFont="1"/>
    <xf borderId="1" fillId="4" fontId="4" numFmtId="164" xfId="0" applyBorder="1" applyFont="1" applyNumberFormat="1"/>
    <xf borderId="1" fillId="3" fontId="4" numFmtId="164" xfId="0" applyAlignment="1" applyBorder="1" applyFont="1" applyNumberFormat="1">
      <alignment shrinkToFit="0" vertical="top" wrapText="1"/>
    </xf>
    <xf borderId="1" fillId="0" fontId="3" numFmtId="0" xfId="0" applyBorder="1" applyFont="1"/>
    <xf borderId="0" fillId="0" fontId="9" numFmtId="164" xfId="0" applyFont="1" applyNumberFormat="1"/>
    <xf borderId="1" fillId="0" fontId="3" numFmtId="164" xfId="0" applyBorder="1" applyFont="1" applyNumberFormat="1"/>
    <xf borderId="0" fillId="0" fontId="10" numFmtId="0" xfId="0" applyFont="1"/>
    <xf borderId="1" fillId="0" fontId="5" numFmtId="164" xfId="0" applyBorder="1" applyFont="1" applyNumberFormat="1"/>
    <xf borderId="0" fillId="0" fontId="11" numFmtId="164" xfId="0" applyFont="1" applyNumberFormat="1"/>
    <xf borderId="1" fillId="7" fontId="4" numFmtId="0" xfId="0" applyAlignment="1" applyBorder="1" applyFill="1" applyFont="1">
      <alignment shrinkToFit="0" vertical="top" wrapText="1"/>
    </xf>
    <xf borderId="1" fillId="8" fontId="4" numFmtId="0" xfId="0" applyAlignment="1" applyBorder="1" applyFill="1" applyFont="1">
      <alignment shrinkToFit="0" vertical="top" wrapText="1"/>
    </xf>
    <xf borderId="1" fillId="9" fontId="4" numFmtId="0" xfId="0" applyAlignment="1" applyBorder="1" applyFill="1" applyFont="1">
      <alignment shrinkToFit="0" vertical="top" wrapText="1"/>
    </xf>
    <xf borderId="0" fillId="0" fontId="3"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75"/>
  <cols>
    <col customWidth="1" min="1" max="1" width="40.0"/>
    <col customWidth="1" min="2" max="5" width="16.0"/>
    <col customWidth="1" min="6" max="6" width="14.0"/>
    <col customWidth="1" min="7" max="26" width="8.71"/>
  </cols>
  <sheetData>
    <row r="1">
      <c r="A1" s="1" t="s">
        <v>0</v>
      </c>
    </row>
    <row r="3">
      <c r="A3" s="2" t="s">
        <v>1</v>
      </c>
      <c r="B3" s="2" t="s">
        <v>2</v>
      </c>
      <c r="C3" s="2" t="s">
        <v>3</v>
      </c>
      <c r="D3" s="2" t="s">
        <v>4</v>
      </c>
      <c r="E3" s="2" t="s">
        <v>5</v>
      </c>
      <c r="F3" s="2" t="s">
        <v>6</v>
      </c>
    </row>
    <row r="4">
      <c r="A4" s="3" t="s">
        <v>7</v>
      </c>
    </row>
    <row r="5">
      <c r="A5" s="4" t="s">
        <v>8</v>
      </c>
      <c r="B5" s="5">
        <v>12.0</v>
      </c>
      <c r="C5" s="6">
        <v>1800.0</v>
      </c>
      <c r="D5" s="5">
        <v>12.0</v>
      </c>
      <c r="E5" s="6">
        <v>1800.0</v>
      </c>
      <c r="F5" s="5" t="s">
        <v>9</v>
      </c>
    </row>
    <row r="6">
      <c r="A6" s="7" t="s">
        <v>10</v>
      </c>
      <c r="B6" s="8">
        <v>24.0</v>
      </c>
      <c r="C6" s="9">
        <v>3600.0</v>
      </c>
      <c r="D6" s="8">
        <v>24.0</v>
      </c>
      <c r="E6" s="9">
        <v>3600.0</v>
      </c>
      <c r="F6" s="8" t="s">
        <v>9</v>
      </c>
    </row>
    <row r="7">
      <c r="A7" s="4" t="s">
        <v>11</v>
      </c>
      <c r="B7" s="5">
        <v>24.0</v>
      </c>
      <c r="C7" s="6">
        <v>3600.0</v>
      </c>
      <c r="D7" s="5">
        <v>24.0</v>
      </c>
      <c r="E7" s="6">
        <v>3600.0</v>
      </c>
      <c r="F7" s="5" t="s">
        <v>9</v>
      </c>
    </row>
    <row r="8">
      <c r="A8" s="7" t="s">
        <v>12</v>
      </c>
      <c r="B8" s="8">
        <v>10.0</v>
      </c>
      <c r="C8" s="9">
        <v>1500.0</v>
      </c>
      <c r="D8" s="8">
        <v>10.0</v>
      </c>
      <c r="E8" s="9">
        <v>1500.0</v>
      </c>
      <c r="F8" s="8" t="s">
        <v>9</v>
      </c>
    </row>
    <row r="9">
      <c r="A9" s="4" t="s">
        <v>13</v>
      </c>
      <c r="B9" s="5">
        <v>20.0</v>
      </c>
      <c r="C9" s="6">
        <v>3000.0</v>
      </c>
      <c r="D9" s="5">
        <v>20.0</v>
      </c>
      <c r="E9" s="6">
        <v>3000.0</v>
      </c>
      <c r="F9" s="5" t="s">
        <v>9</v>
      </c>
    </row>
    <row r="10">
      <c r="A10" s="7" t="s">
        <v>14</v>
      </c>
      <c r="B10" s="8">
        <v>14.0</v>
      </c>
      <c r="C10" s="9">
        <v>2100.0</v>
      </c>
      <c r="D10" s="8">
        <v>14.0</v>
      </c>
      <c r="E10" s="9">
        <v>2100.0</v>
      </c>
      <c r="F10" s="8" t="s">
        <v>9</v>
      </c>
    </row>
    <row r="11">
      <c r="A11" s="4" t="s">
        <v>15</v>
      </c>
      <c r="B11" s="5">
        <v>6.0</v>
      </c>
      <c r="C11" s="6">
        <v>900.0</v>
      </c>
      <c r="D11" s="5">
        <v>6.0</v>
      </c>
      <c r="E11" s="6">
        <v>900.0</v>
      </c>
      <c r="F11" s="5" t="s">
        <v>9</v>
      </c>
    </row>
    <row r="12">
      <c r="A12" s="7" t="s">
        <v>16</v>
      </c>
      <c r="B12" s="8">
        <v>6.0</v>
      </c>
      <c r="C12" s="9">
        <v>900.0</v>
      </c>
      <c r="D12" s="8">
        <v>6.0</v>
      </c>
      <c r="E12" s="9">
        <v>900.0</v>
      </c>
      <c r="F12" s="8" t="s">
        <v>9</v>
      </c>
    </row>
    <row r="13">
      <c r="A13" s="4" t="s">
        <v>17</v>
      </c>
      <c r="B13" s="5">
        <v>8.0</v>
      </c>
      <c r="C13" s="6">
        <v>1200.0</v>
      </c>
      <c r="D13" s="5">
        <v>8.0</v>
      </c>
      <c r="E13" s="6">
        <v>1200.0</v>
      </c>
      <c r="F13" s="5" t="s">
        <v>9</v>
      </c>
    </row>
    <row r="14">
      <c r="A14" s="7" t="s">
        <v>18</v>
      </c>
      <c r="B14" s="8">
        <v>3.0</v>
      </c>
      <c r="C14" s="9">
        <v>450.0</v>
      </c>
      <c r="D14" s="8">
        <v>3.0</v>
      </c>
      <c r="E14" s="9">
        <v>450.0</v>
      </c>
      <c r="F14" s="8" t="s">
        <v>9</v>
      </c>
    </row>
    <row r="15">
      <c r="A15" s="4" t="s">
        <v>19</v>
      </c>
      <c r="B15" s="5">
        <v>10.0</v>
      </c>
      <c r="C15" s="6">
        <v>1500.0</v>
      </c>
      <c r="D15" s="5">
        <v>10.0</v>
      </c>
      <c r="E15" s="6">
        <v>1500.0</v>
      </c>
      <c r="F15" s="5" t="s">
        <v>9</v>
      </c>
    </row>
    <row r="16">
      <c r="A16" s="7" t="s">
        <v>20</v>
      </c>
      <c r="B16" s="8">
        <v>18.0</v>
      </c>
      <c r="C16" s="9">
        <v>2700.0</v>
      </c>
      <c r="D16" s="8">
        <v>18.0</v>
      </c>
      <c r="E16" s="9">
        <v>2700.0</v>
      </c>
      <c r="F16" s="8" t="s">
        <v>9</v>
      </c>
    </row>
    <row r="18">
      <c r="A18" s="3" t="s">
        <v>21</v>
      </c>
    </row>
    <row r="19">
      <c r="A19" s="10" t="s">
        <v>22</v>
      </c>
      <c r="B19" s="11" t="s">
        <v>9</v>
      </c>
      <c r="C19" s="11" t="s">
        <v>9</v>
      </c>
      <c r="D19" s="11">
        <v>45.0</v>
      </c>
      <c r="E19" s="12">
        <v>6750.0</v>
      </c>
      <c r="F19" s="11" t="s">
        <v>23</v>
      </c>
    </row>
    <row r="20">
      <c r="A20" s="10" t="s">
        <v>24</v>
      </c>
      <c r="B20" s="11" t="s">
        <v>9</v>
      </c>
      <c r="C20" s="11" t="s">
        <v>9</v>
      </c>
      <c r="D20" s="11">
        <v>11.0</v>
      </c>
      <c r="E20" s="12">
        <v>1650.0</v>
      </c>
      <c r="F20" s="11" t="s">
        <v>25</v>
      </c>
    </row>
    <row r="21">
      <c r="A21" s="10" t="s">
        <v>26</v>
      </c>
      <c r="B21" s="11" t="s">
        <v>9</v>
      </c>
      <c r="C21" s="11" t="s">
        <v>9</v>
      </c>
      <c r="D21" s="11">
        <v>12.0</v>
      </c>
      <c r="E21" s="12">
        <v>1800.0</v>
      </c>
      <c r="F21" s="11" t="s">
        <v>27</v>
      </c>
    </row>
    <row r="22">
      <c r="A22" s="10" t="s">
        <v>28</v>
      </c>
      <c r="B22" s="11" t="s">
        <v>9</v>
      </c>
      <c r="C22" s="11" t="s">
        <v>9</v>
      </c>
      <c r="D22" s="11">
        <v>14.0</v>
      </c>
      <c r="E22" s="12">
        <v>2100.0</v>
      </c>
      <c r="F22" s="11" t="s">
        <v>29</v>
      </c>
    </row>
    <row r="23">
      <c r="A23" s="10" t="s">
        <v>30</v>
      </c>
      <c r="B23" s="11" t="s">
        <v>9</v>
      </c>
      <c r="C23" s="11" t="s">
        <v>9</v>
      </c>
      <c r="D23" s="11">
        <v>8.0</v>
      </c>
      <c r="E23" s="12">
        <v>1200.0</v>
      </c>
      <c r="F23" s="11" t="s">
        <v>31</v>
      </c>
    </row>
    <row r="24">
      <c r="A24" s="10" t="s">
        <v>32</v>
      </c>
      <c r="B24" s="11" t="s">
        <v>9</v>
      </c>
      <c r="C24" s="11" t="s">
        <v>9</v>
      </c>
      <c r="D24" s="11">
        <v>8.0</v>
      </c>
      <c r="E24" s="12">
        <v>1200.0</v>
      </c>
      <c r="F24" s="11" t="s">
        <v>31</v>
      </c>
    </row>
    <row r="25">
      <c r="A25" s="10" t="s">
        <v>33</v>
      </c>
      <c r="B25" s="11" t="s">
        <v>9</v>
      </c>
      <c r="C25" s="11" t="s">
        <v>9</v>
      </c>
      <c r="D25" s="11">
        <v>11.0</v>
      </c>
      <c r="E25" s="12">
        <v>1650.0</v>
      </c>
      <c r="F25" s="11" t="s">
        <v>25</v>
      </c>
    </row>
    <row r="26">
      <c r="A26" s="10" t="s">
        <v>34</v>
      </c>
      <c r="B26" s="11" t="s">
        <v>9</v>
      </c>
      <c r="C26" s="11" t="s">
        <v>9</v>
      </c>
      <c r="D26" s="11">
        <v>6.0</v>
      </c>
      <c r="E26" s="12">
        <v>900.0</v>
      </c>
      <c r="F26" s="11" t="s">
        <v>35</v>
      </c>
    </row>
    <row r="27">
      <c r="A27" s="10" t="s">
        <v>36</v>
      </c>
      <c r="B27" s="11" t="s">
        <v>9</v>
      </c>
      <c r="C27" s="11" t="s">
        <v>9</v>
      </c>
      <c r="D27" s="11">
        <v>11.0</v>
      </c>
      <c r="E27" s="12">
        <v>1650.0</v>
      </c>
      <c r="F27" s="11" t="s">
        <v>25</v>
      </c>
    </row>
    <row r="28">
      <c r="A28" s="10" t="s">
        <v>37</v>
      </c>
      <c r="B28" s="11" t="s">
        <v>9</v>
      </c>
      <c r="C28" s="11" t="s">
        <v>9</v>
      </c>
      <c r="D28" s="11">
        <v>6.0</v>
      </c>
      <c r="E28" s="12">
        <v>900.0</v>
      </c>
      <c r="F28" s="11" t="s">
        <v>35</v>
      </c>
    </row>
    <row r="29">
      <c r="A29" s="10" t="s">
        <v>38</v>
      </c>
      <c r="B29" s="11" t="s">
        <v>9</v>
      </c>
      <c r="C29" s="11" t="s">
        <v>9</v>
      </c>
      <c r="D29" s="11">
        <v>3.0</v>
      </c>
      <c r="E29" s="12">
        <v>450.0</v>
      </c>
      <c r="F29" s="11" t="s">
        <v>39</v>
      </c>
    </row>
    <row r="30">
      <c r="A30" s="10" t="s">
        <v>40</v>
      </c>
      <c r="B30" s="11" t="s">
        <v>9</v>
      </c>
      <c r="C30" s="11" t="s">
        <v>9</v>
      </c>
      <c r="D30" s="11">
        <v>11.0</v>
      </c>
      <c r="E30" s="12">
        <v>1650.0</v>
      </c>
      <c r="F30" s="11" t="s">
        <v>25</v>
      </c>
    </row>
    <row r="31">
      <c r="A31" s="10" t="s">
        <v>41</v>
      </c>
      <c r="B31" s="11" t="s">
        <v>9</v>
      </c>
      <c r="C31" s="11" t="s">
        <v>9</v>
      </c>
      <c r="D31" s="11">
        <v>16.0</v>
      </c>
      <c r="E31" s="12">
        <v>2400.0</v>
      </c>
      <c r="F31" s="11" t="s">
        <v>42</v>
      </c>
    </row>
    <row r="32"/>
    <row r="33">
      <c r="A33" s="13" t="s">
        <v>43</v>
      </c>
      <c r="B33" s="14">
        <v>155.0</v>
      </c>
      <c r="C33" s="15">
        <v>23250.0</v>
      </c>
      <c r="D33" s="14">
        <v>313.0</v>
      </c>
      <c r="E33" s="15">
        <v>46950.0</v>
      </c>
      <c r="F33" s="14" t="s">
        <v>44</v>
      </c>
    </row>
    <row r="34"/>
    <row r="35">
      <c r="A35" s="16" t="s">
        <v>45</v>
      </c>
    </row>
    <row r="36">
      <c r="A36" s="17"/>
      <c r="B36" s="17" t="s">
        <v>46</v>
      </c>
      <c r="C36" s="17" t="s">
        <v>47</v>
      </c>
    </row>
    <row r="37">
      <c r="A37" s="18" t="s">
        <v>48</v>
      </c>
      <c r="B37" s="18" t="s">
        <v>49</v>
      </c>
      <c r="C37" s="18" t="s">
        <v>50</v>
      </c>
    </row>
    <row r="38">
      <c r="A38" s="19" t="s">
        <v>51</v>
      </c>
      <c r="B38" s="19" t="s">
        <v>52</v>
      </c>
      <c r="C38" s="19" t="s">
        <v>53</v>
      </c>
    </row>
    <row r="39">
      <c r="A39" s="18" t="s">
        <v>54</v>
      </c>
      <c r="B39" s="18" t="s">
        <v>55</v>
      </c>
      <c r="C39" s="18" t="s">
        <v>56</v>
      </c>
    </row>
    <row r="40">
      <c r="A40" s="19" t="s">
        <v>57</v>
      </c>
      <c r="B40" s="19" t="s">
        <v>58</v>
      </c>
      <c r="C40" s="19" t="s">
        <v>59</v>
      </c>
    </row>
    <row r="41">
      <c r="A41" s="18" t="s">
        <v>60</v>
      </c>
      <c r="B41" s="18" t="s">
        <v>61</v>
      </c>
      <c r="C41" s="18" t="s">
        <v>62</v>
      </c>
    </row>
    <row r="42">
      <c r="A42" s="19" t="s">
        <v>63</v>
      </c>
      <c r="B42" s="19" t="s">
        <v>61</v>
      </c>
      <c r="C42" s="19" t="s">
        <v>64</v>
      </c>
    </row>
    <row r="43">
      <c r="A43" s="18" t="s">
        <v>65</v>
      </c>
      <c r="B43" s="18" t="s">
        <v>61</v>
      </c>
      <c r="C43" s="18" t="s">
        <v>66</v>
      </c>
    </row>
    <row r="44">
      <c r="A44" s="19" t="s">
        <v>67</v>
      </c>
      <c r="B44" s="19" t="s">
        <v>61</v>
      </c>
      <c r="C44" s="19" t="s">
        <v>68</v>
      </c>
    </row>
    <row r="45">
      <c r="A45" s="18" t="s">
        <v>69</v>
      </c>
      <c r="B45" s="18" t="s">
        <v>70</v>
      </c>
      <c r="C45" s="18" t="s">
        <v>71</v>
      </c>
    </row>
    <row r="46">
      <c r="A46" s="19" t="s">
        <v>72</v>
      </c>
      <c r="B46" s="19" t="s">
        <v>73</v>
      </c>
      <c r="C46" s="19" t="s">
        <v>74</v>
      </c>
    </row>
    <row r="47"/>
    <row r="48">
      <c r="A48" s="20" t="s">
        <v>75</v>
      </c>
    </row>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4">
    <mergeCell ref="A1:F1"/>
    <mergeCell ref="A4:F4"/>
    <mergeCell ref="A18:F18"/>
    <mergeCell ref="A35:C35"/>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4.4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pageSetUpPr/>
  </sheetPr>
  <sheetViews>
    <sheetView workbookViewId="0">
      <pane ySplit="3.0" topLeftCell="A4" activePane="bottomLeft" state="frozen"/>
      <selection activeCell="B5" sqref="B5" pane="bottomLeft"/>
    </sheetView>
  </sheetViews>
  <sheetFormatPr customHeight="1" defaultColWidth="14.43" defaultRowHeight="15.75"/>
  <cols>
    <col customWidth="1" min="1" max="1" width="25.0"/>
    <col customWidth="1" min="2" max="3" width="55.0"/>
    <col customWidth="1" min="4" max="26" width="8.71"/>
  </cols>
  <sheetData>
    <row r="1">
      <c r="A1" s="1" t="s">
        <v>76</v>
      </c>
    </row>
    <row r="3">
      <c r="A3" s="2" t="s">
        <v>77</v>
      </c>
      <c r="B3" s="2" t="s">
        <v>78</v>
      </c>
      <c r="C3" s="2" t="s">
        <v>79</v>
      </c>
    </row>
    <row r="4">
      <c r="A4" s="21" t="s">
        <v>80</v>
      </c>
      <c r="B4" s="21" t="s">
        <v>81</v>
      </c>
      <c r="C4" s="21" t="s">
        <v>82</v>
      </c>
    </row>
    <row r="5">
      <c r="A5" s="22" t="s">
        <v>83</v>
      </c>
      <c r="B5" s="22" t="s">
        <v>84</v>
      </c>
      <c r="C5" s="22" t="s">
        <v>85</v>
      </c>
    </row>
    <row r="6">
      <c r="A6" s="21" t="s">
        <v>54</v>
      </c>
      <c r="B6" s="21" t="s">
        <v>86</v>
      </c>
      <c r="C6" s="21" t="s">
        <v>87</v>
      </c>
    </row>
    <row r="7">
      <c r="A7" s="22" t="s">
        <v>88</v>
      </c>
      <c r="B7" s="22" t="s">
        <v>89</v>
      </c>
      <c r="C7" s="22" t="s">
        <v>90</v>
      </c>
    </row>
    <row r="8">
      <c r="A8" s="21" t="s">
        <v>91</v>
      </c>
      <c r="B8" s="21" t="s">
        <v>92</v>
      </c>
      <c r="C8" s="21" t="s">
        <v>93</v>
      </c>
    </row>
    <row r="9">
      <c r="A9" s="22" t="s">
        <v>94</v>
      </c>
      <c r="B9" s="22" t="s">
        <v>95</v>
      </c>
      <c r="C9" s="22" t="s">
        <v>96</v>
      </c>
    </row>
    <row r="10">
      <c r="A10" s="21" t="s">
        <v>97</v>
      </c>
      <c r="B10" s="21" t="s">
        <v>98</v>
      </c>
      <c r="C10" s="21" t="s">
        <v>99</v>
      </c>
    </row>
    <row r="11">
      <c r="A11" s="22" t="s">
        <v>100</v>
      </c>
      <c r="B11" s="22" t="s">
        <v>101</v>
      </c>
      <c r="C11" s="22" t="s">
        <v>102</v>
      </c>
    </row>
    <row r="12">
      <c r="A12" s="21" t="s">
        <v>103</v>
      </c>
      <c r="B12" s="21" t="s">
        <v>104</v>
      </c>
      <c r="C12" s="21" t="s">
        <v>105</v>
      </c>
    </row>
    <row r="13">
      <c r="A13" s="22" t="s">
        <v>106</v>
      </c>
      <c r="B13" s="22" t="s">
        <v>107</v>
      </c>
      <c r="C13" s="22" t="s">
        <v>107</v>
      </c>
    </row>
    <row r="14">
      <c r="A14" s="21" t="s">
        <v>108</v>
      </c>
      <c r="B14" s="21" t="s">
        <v>109</v>
      </c>
      <c r="C14" s="21" t="s">
        <v>110</v>
      </c>
    </row>
    <row r="16">
      <c r="A16" s="23" t="s">
        <v>111</v>
      </c>
    </row>
    <row r="17">
      <c r="A17" s="24" t="s">
        <v>112</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3">
    <mergeCell ref="A1:C1"/>
    <mergeCell ref="A16:C16"/>
    <mergeCell ref="A17:C17"/>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75"/>
  <cols>
    <col customWidth="1" min="1" max="1" width="35.0"/>
    <col customWidth="1" min="2" max="2" width="55.0"/>
    <col customWidth="1" min="3" max="4" width="12.0"/>
    <col customWidth="1" min="5" max="5" width="14.0"/>
    <col customWidth="1" min="6" max="6" width="10.0"/>
    <col customWidth="1" min="7" max="8" width="12.0"/>
    <col customWidth="1" min="9" max="9" width="14.0"/>
    <col customWidth="1" min="10" max="10" width="55.0"/>
    <col customWidth="1" min="11" max="12" width="14.0"/>
    <col customWidth="1" min="13" max="13" width="12.0"/>
    <col customWidth="1" min="14" max="26" width="8.71"/>
  </cols>
  <sheetData>
    <row r="1">
      <c r="A1" s="25" t="s">
        <v>113</v>
      </c>
      <c r="B1" s="26">
        <v>150.0</v>
      </c>
    </row>
    <row r="3">
      <c r="A3" s="2" t="s">
        <v>1</v>
      </c>
      <c r="B3" s="2" t="s">
        <v>80</v>
      </c>
      <c r="C3" s="2" t="s">
        <v>114</v>
      </c>
      <c r="D3" s="2" t="s">
        <v>115</v>
      </c>
      <c r="E3" s="2" t="s">
        <v>48</v>
      </c>
      <c r="F3" s="2" t="s">
        <v>116</v>
      </c>
      <c r="G3" s="2" t="s">
        <v>117</v>
      </c>
      <c r="H3" s="2" t="s">
        <v>118</v>
      </c>
      <c r="I3" s="2" t="s">
        <v>119</v>
      </c>
      <c r="J3" s="2" t="s">
        <v>120</v>
      </c>
      <c r="K3" s="27" t="s">
        <v>121</v>
      </c>
      <c r="L3" s="27" t="s">
        <v>122</v>
      </c>
      <c r="M3" s="27" t="s">
        <v>123</v>
      </c>
    </row>
    <row r="4">
      <c r="A4" s="23" t="s">
        <v>124</v>
      </c>
    </row>
    <row r="5">
      <c r="A5" s="21" t="s">
        <v>8</v>
      </c>
      <c r="B5" s="21" t="s">
        <v>125</v>
      </c>
      <c r="C5" s="21">
        <v>8.0</v>
      </c>
      <c r="D5" s="21">
        <v>16.0</v>
      </c>
      <c r="E5" s="21">
        <f t="shared" ref="E5:E18" si="2">AVERAGE(C5,D5)</f>
        <v>12</v>
      </c>
      <c r="F5" s="28">
        <f t="shared" ref="F5:F19" si="3">$B$1</f>
        <v>150</v>
      </c>
      <c r="G5" s="28">
        <f t="shared" ref="G5:I5" si="1">C5*$B$1</f>
        <v>1200</v>
      </c>
      <c r="H5" s="28">
        <f t="shared" si="1"/>
        <v>2400</v>
      </c>
      <c r="I5" s="28">
        <f t="shared" si="1"/>
        <v>1800</v>
      </c>
      <c r="J5" s="21"/>
      <c r="K5" s="29"/>
      <c r="L5" s="30"/>
      <c r="M5" s="29" t="str">
        <f t="shared" ref="M5:M18" si="5">IF(K5="","",K5-E5)</f>
        <v/>
      </c>
    </row>
    <row r="6">
      <c r="A6" s="22" t="s">
        <v>10</v>
      </c>
      <c r="B6" s="22" t="s">
        <v>126</v>
      </c>
      <c r="C6" s="22">
        <v>16.0</v>
      </c>
      <c r="D6" s="22">
        <v>32.0</v>
      </c>
      <c r="E6" s="22">
        <f t="shared" si="2"/>
        <v>24</v>
      </c>
      <c r="F6" s="31">
        <f t="shared" si="3"/>
        <v>150</v>
      </c>
      <c r="G6" s="31">
        <f t="shared" ref="G6:I6" si="4">C6*$B$1</f>
        <v>2400</v>
      </c>
      <c r="H6" s="31">
        <f t="shared" si="4"/>
        <v>4800</v>
      </c>
      <c r="I6" s="31">
        <f t="shared" si="4"/>
        <v>3600</v>
      </c>
      <c r="J6" s="22"/>
      <c r="K6" s="29"/>
      <c r="L6" s="30"/>
      <c r="M6" s="29" t="str">
        <f t="shared" si="5"/>
        <v/>
      </c>
    </row>
    <row r="7">
      <c r="A7" s="21" t="s">
        <v>11</v>
      </c>
      <c r="B7" s="21" t="s">
        <v>127</v>
      </c>
      <c r="C7" s="21">
        <v>16.0</v>
      </c>
      <c r="D7" s="21">
        <v>32.0</v>
      </c>
      <c r="E7" s="21">
        <f t="shared" si="2"/>
        <v>24</v>
      </c>
      <c r="F7" s="28">
        <f t="shared" si="3"/>
        <v>150</v>
      </c>
      <c r="G7" s="28">
        <f t="shared" ref="G7:I7" si="6">C7*$B$1</f>
        <v>2400</v>
      </c>
      <c r="H7" s="28">
        <f t="shared" si="6"/>
        <v>4800</v>
      </c>
      <c r="I7" s="28">
        <f t="shared" si="6"/>
        <v>3600</v>
      </c>
      <c r="J7" s="21" t="s">
        <v>128</v>
      </c>
      <c r="K7" s="29"/>
      <c r="L7" s="30"/>
      <c r="M7" s="29" t="str">
        <f t="shared" si="5"/>
        <v/>
      </c>
    </row>
    <row r="8">
      <c r="A8" s="22" t="s">
        <v>12</v>
      </c>
      <c r="B8" s="22" t="s">
        <v>129</v>
      </c>
      <c r="C8" s="22">
        <v>6.0</v>
      </c>
      <c r="D8" s="22">
        <v>14.0</v>
      </c>
      <c r="E8" s="22">
        <f t="shared" si="2"/>
        <v>10</v>
      </c>
      <c r="F8" s="31">
        <f t="shared" si="3"/>
        <v>150</v>
      </c>
      <c r="G8" s="31">
        <f t="shared" ref="G8:I8" si="7">C8*$B$1</f>
        <v>900</v>
      </c>
      <c r="H8" s="31">
        <f t="shared" si="7"/>
        <v>2100</v>
      </c>
      <c r="I8" s="31">
        <f t="shared" si="7"/>
        <v>1500</v>
      </c>
      <c r="J8" s="22" t="s">
        <v>130</v>
      </c>
      <c r="K8" s="29"/>
      <c r="L8" s="30"/>
      <c r="M8" s="29" t="str">
        <f t="shared" si="5"/>
        <v/>
      </c>
    </row>
    <row r="9">
      <c r="A9" s="22" t="s">
        <v>28</v>
      </c>
      <c r="B9" s="22" t="s">
        <v>131</v>
      </c>
      <c r="C9" s="22">
        <v>10.0</v>
      </c>
      <c r="D9" s="22">
        <v>18.0</v>
      </c>
      <c r="E9" s="22">
        <f t="shared" si="2"/>
        <v>14</v>
      </c>
      <c r="F9" s="31">
        <f t="shared" si="3"/>
        <v>150</v>
      </c>
      <c r="G9" s="31">
        <f t="shared" ref="G9:I9" si="8">C9*$B$1</f>
        <v>1500</v>
      </c>
      <c r="H9" s="31">
        <f t="shared" si="8"/>
        <v>2700</v>
      </c>
      <c r="I9" s="31">
        <f t="shared" si="8"/>
        <v>2100</v>
      </c>
      <c r="J9" s="22" t="s">
        <v>132</v>
      </c>
      <c r="K9" s="29"/>
      <c r="L9" s="30"/>
      <c r="M9" s="29" t="str">
        <f t="shared" si="5"/>
        <v/>
      </c>
    </row>
    <row r="10">
      <c r="A10" s="21" t="s">
        <v>30</v>
      </c>
      <c r="B10" s="21" t="s">
        <v>133</v>
      </c>
      <c r="C10" s="21">
        <v>6.0</v>
      </c>
      <c r="D10" s="21">
        <v>10.0</v>
      </c>
      <c r="E10" s="21">
        <f t="shared" si="2"/>
        <v>8</v>
      </c>
      <c r="F10" s="28">
        <f t="shared" si="3"/>
        <v>150</v>
      </c>
      <c r="G10" s="28">
        <f t="shared" ref="G10:I10" si="9">C10*$B$1</f>
        <v>900</v>
      </c>
      <c r="H10" s="28">
        <f t="shared" si="9"/>
        <v>1500</v>
      </c>
      <c r="I10" s="28">
        <f t="shared" si="9"/>
        <v>1200</v>
      </c>
      <c r="J10" s="21" t="s">
        <v>134</v>
      </c>
      <c r="K10" s="29"/>
      <c r="L10" s="30"/>
      <c r="M10" s="29" t="str">
        <f t="shared" si="5"/>
        <v/>
      </c>
    </row>
    <row r="11">
      <c r="A11" s="22" t="s">
        <v>14</v>
      </c>
      <c r="B11" s="22" t="s">
        <v>135</v>
      </c>
      <c r="C11" s="22">
        <v>10.0</v>
      </c>
      <c r="D11" s="22">
        <v>18.0</v>
      </c>
      <c r="E11" s="22">
        <f t="shared" si="2"/>
        <v>14</v>
      </c>
      <c r="F11" s="31">
        <f t="shared" si="3"/>
        <v>150</v>
      </c>
      <c r="G11" s="31">
        <f t="shared" ref="G11:I11" si="10">C11*$B$1</f>
        <v>1500</v>
      </c>
      <c r="H11" s="31">
        <f t="shared" si="10"/>
        <v>2700</v>
      </c>
      <c r="I11" s="31">
        <f t="shared" si="10"/>
        <v>2100</v>
      </c>
      <c r="J11" s="22" t="s">
        <v>136</v>
      </c>
      <c r="K11" s="29"/>
      <c r="L11" s="30"/>
      <c r="M11" s="29" t="str">
        <f t="shared" si="5"/>
        <v/>
      </c>
    </row>
    <row r="12">
      <c r="A12" s="21" t="s">
        <v>13</v>
      </c>
      <c r="B12" s="21" t="s">
        <v>137</v>
      </c>
      <c r="C12" s="21">
        <v>14.0</v>
      </c>
      <c r="D12" s="21">
        <v>26.0</v>
      </c>
      <c r="E12" s="21">
        <f t="shared" si="2"/>
        <v>20</v>
      </c>
      <c r="F12" s="28">
        <f t="shared" si="3"/>
        <v>150</v>
      </c>
      <c r="G12" s="28">
        <f t="shared" ref="G12:I12" si="11">C12*$B$1</f>
        <v>2100</v>
      </c>
      <c r="H12" s="28">
        <f t="shared" si="11"/>
        <v>3900</v>
      </c>
      <c r="I12" s="28">
        <f t="shared" si="11"/>
        <v>3000</v>
      </c>
      <c r="J12" s="21"/>
      <c r="K12" s="29"/>
      <c r="L12" s="30"/>
      <c r="M12" s="29" t="str">
        <f t="shared" si="5"/>
        <v/>
      </c>
    </row>
    <row r="13">
      <c r="A13" s="21" t="s">
        <v>15</v>
      </c>
      <c r="B13" s="21" t="s">
        <v>138</v>
      </c>
      <c r="C13" s="21">
        <v>4.0</v>
      </c>
      <c r="D13" s="21">
        <v>8.0</v>
      </c>
      <c r="E13" s="21">
        <f t="shared" si="2"/>
        <v>6</v>
      </c>
      <c r="F13" s="28">
        <f t="shared" si="3"/>
        <v>150</v>
      </c>
      <c r="G13" s="28">
        <f t="shared" ref="G13:I13" si="12">C13*$B$1</f>
        <v>600</v>
      </c>
      <c r="H13" s="28">
        <f t="shared" si="12"/>
        <v>1200</v>
      </c>
      <c r="I13" s="28">
        <f t="shared" si="12"/>
        <v>900</v>
      </c>
      <c r="J13" s="21" t="s">
        <v>139</v>
      </c>
      <c r="K13" s="29"/>
      <c r="L13" s="30"/>
      <c r="M13" s="29" t="str">
        <f t="shared" si="5"/>
        <v/>
      </c>
    </row>
    <row r="14">
      <c r="A14" s="22" t="s">
        <v>16</v>
      </c>
      <c r="B14" s="22" t="s">
        <v>140</v>
      </c>
      <c r="C14" s="22">
        <v>4.0</v>
      </c>
      <c r="D14" s="22">
        <v>8.0</v>
      </c>
      <c r="E14" s="22">
        <f t="shared" si="2"/>
        <v>6</v>
      </c>
      <c r="F14" s="31">
        <f t="shared" si="3"/>
        <v>150</v>
      </c>
      <c r="G14" s="31">
        <f t="shared" ref="G14:I14" si="13">C14*$B$1</f>
        <v>600</v>
      </c>
      <c r="H14" s="31">
        <f t="shared" si="13"/>
        <v>1200</v>
      </c>
      <c r="I14" s="31">
        <f t="shared" si="13"/>
        <v>900</v>
      </c>
      <c r="J14" s="22" t="s">
        <v>141</v>
      </c>
      <c r="K14" s="29"/>
      <c r="L14" s="30"/>
      <c r="M14" s="29" t="str">
        <f t="shared" si="5"/>
        <v/>
      </c>
    </row>
    <row r="15">
      <c r="A15" s="21" t="s">
        <v>17</v>
      </c>
      <c r="B15" s="21" t="s">
        <v>142</v>
      </c>
      <c r="C15" s="21">
        <v>6.0</v>
      </c>
      <c r="D15" s="21">
        <v>10.0</v>
      </c>
      <c r="E15" s="21">
        <f t="shared" si="2"/>
        <v>8</v>
      </c>
      <c r="F15" s="28">
        <f t="shared" si="3"/>
        <v>150</v>
      </c>
      <c r="G15" s="28">
        <f t="shared" ref="G15:I15" si="14">C15*$B$1</f>
        <v>900</v>
      </c>
      <c r="H15" s="28">
        <f t="shared" si="14"/>
        <v>1500</v>
      </c>
      <c r="I15" s="28">
        <f t="shared" si="14"/>
        <v>1200</v>
      </c>
      <c r="J15" s="21" t="s">
        <v>143</v>
      </c>
      <c r="K15" s="29"/>
      <c r="L15" s="30"/>
      <c r="M15" s="29" t="str">
        <f t="shared" si="5"/>
        <v/>
      </c>
    </row>
    <row r="16">
      <c r="A16" s="22" t="s">
        <v>18</v>
      </c>
      <c r="B16" s="22" t="s">
        <v>144</v>
      </c>
      <c r="C16" s="22">
        <v>2.0</v>
      </c>
      <c r="D16" s="22">
        <v>4.0</v>
      </c>
      <c r="E16" s="22">
        <f t="shared" si="2"/>
        <v>3</v>
      </c>
      <c r="F16" s="31">
        <f t="shared" si="3"/>
        <v>150</v>
      </c>
      <c r="G16" s="31">
        <f t="shared" ref="G16:I16" si="15">C16*$B$1</f>
        <v>300</v>
      </c>
      <c r="H16" s="31">
        <f t="shared" si="15"/>
        <v>600</v>
      </c>
      <c r="I16" s="31">
        <f t="shared" si="15"/>
        <v>450</v>
      </c>
      <c r="J16" s="22" t="s">
        <v>145</v>
      </c>
      <c r="K16" s="29"/>
      <c r="L16" s="30"/>
      <c r="M16" s="29" t="str">
        <f t="shared" si="5"/>
        <v/>
      </c>
    </row>
    <row r="17">
      <c r="A17" s="21" t="s">
        <v>146</v>
      </c>
      <c r="B17" s="21" t="s">
        <v>147</v>
      </c>
      <c r="C17" s="21">
        <v>8.0</v>
      </c>
      <c r="D17" s="21">
        <v>12.0</v>
      </c>
      <c r="E17" s="21">
        <f t="shared" si="2"/>
        <v>10</v>
      </c>
      <c r="F17" s="28">
        <f t="shared" si="3"/>
        <v>150</v>
      </c>
      <c r="G17" s="28">
        <f t="shared" ref="G17:I17" si="16">C17*$B$1</f>
        <v>1200</v>
      </c>
      <c r="H17" s="28">
        <f t="shared" si="16"/>
        <v>1800</v>
      </c>
      <c r="I17" s="28">
        <f t="shared" si="16"/>
        <v>1500</v>
      </c>
      <c r="J17" s="21"/>
      <c r="K17" s="29"/>
      <c r="L17" s="30"/>
      <c r="M17" s="29" t="str">
        <f t="shared" si="5"/>
        <v/>
      </c>
    </row>
    <row r="18">
      <c r="A18" s="22" t="s">
        <v>20</v>
      </c>
      <c r="B18" s="22" t="s">
        <v>148</v>
      </c>
      <c r="C18" s="22">
        <v>14.0</v>
      </c>
      <c r="D18" s="22">
        <v>22.0</v>
      </c>
      <c r="E18" s="22">
        <f t="shared" si="2"/>
        <v>18</v>
      </c>
      <c r="F18" s="31">
        <f t="shared" si="3"/>
        <v>150</v>
      </c>
      <c r="G18" s="31">
        <f t="shared" ref="G18:I18" si="17">C18*$B$1</f>
        <v>2100</v>
      </c>
      <c r="H18" s="31">
        <f t="shared" si="17"/>
        <v>3300</v>
      </c>
      <c r="I18" s="31">
        <f t="shared" si="17"/>
        <v>2700</v>
      </c>
      <c r="J18" s="22"/>
      <c r="K18" s="29"/>
      <c r="L18" s="30"/>
      <c r="M18" s="29" t="str">
        <f t="shared" si="5"/>
        <v/>
      </c>
    </row>
    <row r="19">
      <c r="A19" s="3" t="s">
        <v>149</v>
      </c>
      <c r="C19" s="32">
        <f t="shared" ref="C19:E19" si="18">SUM(C5:C18)</f>
        <v>124</v>
      </c>
      <c r="D19" s="32">
        <f t="shared" si="18"/>
        <v>230</v>
      </c>
      <c r="E19" s="32">
        <f t="shared" si="18"/>
        <v>177</v>
      </c>
      <c r="F19" s="33">
        <f t="shared" si="3"/>
        <v>150</v>
      </c>
      <c r="G19" s="34">
        <f t="shared" ref="G19:I19" si="19">SUM(G5:G18)</f>
        <v>18600</v>
      </c>
      <c r="H19" s="34">
        <f t="shared" si="19"/>
        <v>34500</v>
      </c>
      <c r="I19" s="34">
        <f t="shared" si="19"/>
        <v>26550</v>
      </c>
      <c r="K19" s="32">
        <f t="shared" ref="K19:L19" si="20">SUM(K5:K18)</f>
        <v>0</v>
      </c>
      <c r="L19" s="34">
        <f t="shared" si="20"/>
        <v>0</v>
      </c>
    </row>
    <row r="21">
      <c r="A21" s="23" t="s">
        <v>150</v>
      </c>
    </row>
    <row r="22">
      <c r="A22" s="21" t="s">
        <v>22</v>
      </c>
      <c r="B22" s="21" t="s">
        <v>151</v>
      </c>
      <c r="C22" s="21">
        <v>35.0</v>
      </c>
      <c r="D22" s="21">
        <v>55.0</v>
      </c>
      <c r="E22" s="21">
        <f t="shared" ref="E22:E32" si="22">AVERAGE(C22,D22)</f>
        <v>45</v>
      </c>
      <c r="F22" s="28">
        <f t="shared" ref="F22:F33" si="23">$B$1</f>
        <v>150</v>
      </c>
      <c r="G22" s="28">
        <f t="shared" ref="G22:I22" si="21">C22*$B$1</f>
        <v>5250</v>
      </c>
      <c r="H22" s="28">
        <f t="shared" si="21"/>
        <v>8250</v>
      </c>
      <c r="I22" s="28">
        <f t="shared" si="21"/>
        <v>6750</v>
      </c>
      <c r="J22" s="21" t="s">
        <v>152</v>
      </c>
      <c r="K22" s="29"/>
      <c r="L22" s="30"/>
      <c r="M22" s="29" t="str">
        <f t="shared" ref="M22:M32" si="25">IF(K22="","",K22-E22)</f>
        <v/>
      </c>
    </row>
    <row r="23">
      <c r="A23" s="22" t="s">
        <v>24</v>
      </c>
      <c r="B23" s="22" t="s">
        <v>153</v>
      </c>
      <c r="C23" s="22">
        <v>8.0</v>
      </c>
      <c r="D23" s="22">
        <v>14.0</v>
      </c>
      <c r="E23" s="22">
        <f t="shared" si="22"/>
        <v>11</v>
      </c>
      <c r="F23" s="31">
        <f t="shared" si="23"/>
        <v>150</v>
      </c>
      <c r="G23" s="31">
        <f t="shared" ref="G23:I23" si="24">C23*$B$1</f>
        <v>1200</v>
      </c>
      <c r="H23" s="31">
        <f t="shared" si="24"/>
        <v>2100</v>
      </c>
      <c r="I23" s="31">
        <f t="shared" si="24"/>
        <v>1650</v>
      </c>
      <c r="J23" s="22" t="s">
        <v>154</v>
      </c>
      <c r="K23" s="29"/>
      <c r="L23" s="30"/>
      <c r="M23" s="29" t="str">
        <f t="shared" si="25"/>
        <v/>
      </c>
    </row>
    <row r="24">
      <c r="A24" s="21" t="s">
        <v>26</v>
      </c>
      <c r="B24" s="21" t="s">
        <v>155</v>
      </c>
      <c r="C24" s="21">
        <v>8.0</v>
      </c>
      <c r="D24" s="21">
        <v>16.0</v>
      </c>
      <c r="E24" s="21">
        <f t="shared" si="22"/>
        <v>12</v>
      </c>
      <c r="F24" s="28">
        <f t="shared" si="23"/>
        <v>150</v>
      </c>
      <c r="G24" s="28">
        <f t="shared" ref="G24:I24" si="26">C24*$B$1</f>
        <v>1200</v>
      </c>
      <c r="H24" s="28">
        <f t="shared" si="26"/>
        <v>2400</v>
      </c>
      <c r="I24" s="28">
        <f t="shared" si="26"/>
        <v>1800</v>
      </c>
      <c r="J24" s="21" t="s">
        <v>156</v>
      </c>
      <c r="K24" s="29"/>
      <c r="L24" s="30"/>
      <c r="M24" s="29" t="str">
        <f t="shared" si="25"/>
        <v/>
      </c>
    </row>
    <row r="25">
      <c r="A25" s="22" t="s">
        <v>32</v>
      </c>
      <c r="B25" s="22" t="s">
        <v>157</v>
      </c>
      <c r="C25" s="22">
        <v>6.0</v>
      </c>
      <c r="D25" s="22">
        <v>10.0</v>
      </c>
      <c r="E25" s="22">
        <f t="shared" si="22"/>
        <v>8</v>
      </c>
      <c r="F25" s="31">
        <f t="shared" si="23"/>
        <v>150</v>
      </c>
      <c r="G25" s="31">
        <f t="shared" ref="G25:I25" si="27">C25*$B$1</f>
        <v>900</v>
      </c>
      <c r="H25" s="31">
        <f t="shared" si="27"/>
        <v>1500</v>
      </c>
      <c r="I25" s="31">
        <f t="shared" si="27"/>
        <v>1200</v>
      </c>
      <c r="J25" s="22" t="s">
        <v>158</v>
      </c>
      <c r="K25" s="29"/>
      <c r="L25" s="30"/>
      <c r="M25" s="29" t="str">
        <f t="shared" si="25"/>
        <v/>
      </c>
    </row>
    <row r="26">
      <c r="A26" s="21" t="s">
        <v>33</v>
      </c>
      <c r="B26" s="21" t="s">
        <v>159</v>
      </c>
      <c r="C26" s="21">
        <v>8.0</v>
      </c>
      <c r="D26" s="21">
        <v>14.0</v>
      </c>
      <c r="E26" s="21">
        <f t="shared" si="22"/>
        <v>11</v>
      </c>
      <c r="F26" s="28">
        <f t="shared" si="23"/>
        <v>150</v>
      </c>
      <c r="G26" s="28">
        <f t="shared" ref="G26:I26" si="28">C26*$B$1</f>
        <v>1200</v>
      </c>
      <c r="H26" s="28">
        <f t="shared" si="28"/>
        <v>2100</v>
      </c>
      <c r="I26" s="28">
        <f t="shared" si="28"/>
        <v>1650</v>
      </c>
      <c r="J26" s="21" t="s">
        <v>160</v>
      </c>
      <c r="K26" s="29"/>
      <c r="L26" s="30"/>
      <c r="M26" s="29" t="str">
        <f t="shared" si="25"/>
        <v/>
      </c>
    </row>
    <row r="27">
      <c r="A27" s="22" t="s">
        <v>34</v>
      </c>
      <c r="B27" s="22" t="s">
        <v>161</v>
      </c>
      <c r="C27" s="22">
        <v>4.0</v>
      </c>
      <c r="D27" s="22">
        <v>8.0</v>
      </c>
      <c r="E27" s="22">
        <f t="shared" si="22"/>
        <v>6</v>
      </c>
      <c r="F27" s="31">
        <f t="shared" si="23"/>
        <v>150</v>
      </c>
      <c r="G27" s="31">
        <f t="shared" ref="G27:I27" si="29">C27*$B$1</f>
        <v>600</v>
      </c>
      <c r="H27" s="31">
        <f t="shared" si="29"/>
        <v>1200</v>
      </c>
      <c r="I27" s="31">
        <f t="shared" si="29"/>
        <v>900</v>
      </c>
      <c r="J27" s="22" t="s">
        <v>162</v>
      </c>
      <c r="K27" s="29"/>
      <c r="L27" s="30"/>
      <c r="M27" s="29" t="str">
        <f t="shared" si="25"/>
        <v/>
      </c>
    </row>
    <row r="28">
      <c r="A28" s="21" t="s">
        <v>36</v>
      </c>
      <c r="B28" s="21" t="s">
        <v>163</v>
      </c>
      <c r="C28" s="21">
        <v>8.0</v>
      </c>
      <c r="D28" s="21">
        <v>14.0</v>
      </c>
      <c r="E28" s="21">
        <f t="shared" si="22"/>
        <v>11</v>
      </c>
      <c r="F28" s="28">
        <f t="shared" si="23"/>
        <v>150</v>
      </c>
      <c r="G28" s="28">
        <f t="shared" ref="G28:I28" si="30">C28*$B$1</f>
        <v>1200</v>
      </c>
      <c r="H28" s="28">
        <f t="shared" si="30"/>
        <v>2100</v>
      </c>
      <c r="I28" s="28">
        <f t="shared" si="30"/>
        <v>1650</v>
      </c>
      <c r="J28" s="21" t="s">
        <v>164</v>
      </c>
      <c r="K28" s="29"/>
      <c r="L28" s="30"/>
      <c r="M28" s="29" t="str">
        <f t="shared" si="25"/>
        <v/>
      </c>
    </row>
    <row r="29">
      <c r="A29" s="22" t="s">
        <v>37</v>
      </c>
      <c r="B29" s="22" t="s">
        <v>165</v>
      </c>
      <c r="C29" s="22">
        <v>4.0</v>
      </c>
      <c r="D29" s="22">
        <v>8.0</v>
      </c>
      <c r="E29" s="22">
        <f t="shared" si="22"/>
        <v>6</v>
      </c>
      <c r="F29" s="31">
        <f t="shared" si="23"/>
        <v>150</v>
      </c>
      <c r="G29" s="31">
        <f t="shared" ref="G29:I29" si="31">C29*$B$1</f>
        <v>600</v>
      </c>
      <c r="H29" s="31">
        <f t="shared" si="31"/>
        <v>1200</v>
      </c>
      <c r="I29" s="31">
        <f t="shared" si="31"/>
        <v>900</v>
      </c>
      <c r="J29" s="22" t="s">
        <v>166</v>
      </c>
      <c r="K29" s="29"/>
      <c r="L29" s="30"/>
      <c r="M29" s="29" t="str">
        <f t="shared" si="25"/>
        <v/>
      </c>
    </row>
    <row r="30">
      <c r="A30" s="21" t="s">
        <v>38</v>
      </c>
      <c r="B30" s="21" t="s">
        <v>167</v>
      </c>
      <c r="C30" s="21">
        <v>2.0</v>
      </c>
      <c r="D30" s="21">
        <v>4.0</v>
      </c>
      <c r="E30" s="21">
        <f t="shared" si="22"/>
        <v>3</v>
      </c>
      <c r="F30" s="28">
        <f t="shared" si="23"/>
        <v>150</v>
      </c>
      <c r="G30" s="28">
        <f t="shared" ref="G30:I30" si="32">C30*$B$1</f>
        <v>300</v>
      </c>
      <c r="H30" s="28">
        <f t="shared" si="32"/>
        <v>600</v>
      </c>
      <c r="I30" s="28">
        <f t="shared" si="32"/>
        <v>450</v>
      </c>
      <c r="J30" s="21" t="s">
        <v>168</v>
      </c>
      <c r="K30" s="29"/>
      <c r="L30" s="30"/>
      <c r="M30" s="29" t="str">
        <f t="shared" si="25"/>
        <v/>
      </c>
    </row>
    <row r="31">
      <c r="A31" s="22" t="s">
        <v>40</v>
      </c>
      <c r="B31" s="22" t="s">
        <v>169</v>
      </c>
      <c r="C31" s="22">
        <v>8.0</v>
      </c>
      <c r="D31" s="22">
        <v>14.0</v>
      </c>
      <c r="E31" s="22">
        <f t="shared" si="22"/>
        <v>11</v>
      </c>
      <c r="F31" s="31">
        <f t="shared" si="23"/>
        <v>150</v>
      </c>
      <c r="G31" s="31">
        <f t="shared" ref="G31:I31" si="33">C31*$B$1</f>
        <v>1200</v>
      </c>
      <c r="H31" s="31">
        <f t="shared" si="33"/>
        <v>2100</v>
      </c>
      <c r="I31" s="31">
        <f t="shared" si="33"/>
        <v>1650</v>
      </c>
      <c r="J31" s="22" t="s">
        <v>170</v>
      </c>
      <c r="K31" s="29"/>
      <c r="L31" s="30"/>
      <c r="M31" s="29" t="str">
        <f t="shared" si="25"/>
        <v/>
      </c>
    </row>
    <row r="32">
      <c r="A32" s="21" t="s">
        <v>171</v>
      </c>
      <c r="B32" s="21" t="s">
        <v>172</v>
      </c>
      <c r="C32" s="21">
        <v>12.0</v>
      </c>
      <c r="D32" s="21">
        <v>20.0</v>
      </c>
      <c r="E32" s="21">
        <f t="shared" si="22"/>
        <v>16</v>
      </c>
      <c r="F32" s="28">
        <f t="shared" si="23"/>
        <v>150</v>
      </c>
      <c r="G32" s="28">
        <f t="shared" ref="G32:I32" si="34">C32*$B$1</f>
        <v>1800</v>
      </c>
      <c r="H32" s="28">
        <f t="shared" si="34"/>
        <v>3000</v>
      </c>
      <c r="I32" s="28">
        <f t="shared" si="34"/>
        <v>2400</v>
      </c>
      <c r="J32" s="21" t="s">
        <v>173</v>
      </c>
      <c r="K32" s="29"/>
      <c r="L32" s="30"/>
      <c r="M32" s="29" t="str">
        <f t="shared" si="25"/>
        <v/>
      </c>
    </row>
    <row r="33">
      <c r="A33" s="3" t="s">
        <v>174</v>
      </c>
      <c r="C33" s="32">
        <f t="shared" ref="C33:E33" si="35">SUM(C22:C32)</f>
        <v>103</v>
      </c>
      <c r="D33" s="32">
        <f t="shared" si="35"/>
        <v>177</v>
      </c>
      <c r="E33" s="32">
        <f t="shared" si="35"/>
        <v>140</v>
      </c>
      <c r="F33" s="33">
        <f t="shared" si="23"/>
        <v>150</v>
      </c>
      <c r="G33" s="34">
        <f t="shared" ref="G33:I33" si="36">SUM(G22:G32)</f>
        <v>15450</v>
      </c>
      <c r="H33" s="34">
        <f t="shared" si="36"/>
        <v>26550</v>
      </c>
      <c r="I33" s="34">
        <f t="shared" si="36"/>
        <v>21000</v>
      </c>
      <c r="K33" s="32">
        <f t="shared" ref="K33:L33" si="37">SUM(K22:K32)</f>
        <v>0</v>
      </c>
      <c r="L33" s="34">
        <f t="shared" si="37"/>
        <v>0</v>
      </c>
    </row>
    <row r="34"/>
    <row r="35">
      <c r="A35" s="35" t="s">
        <v>175</v>
      </c>
    </row>
    <row r="36">
      <c r="A36" s="22" t="s">
        <v>176</v>
      </c>
      <c r="B36" s="22" t="s">
        <v>177</v>
      </c>
      <c r="C36" s="22">
        <v>8.0</v>
      </c>
      <c r="D36" s="22">
        <v>14.0</v>
      </c>
      <c r="E36" s="22">
        <f>AVERAGE(C36,D36)</f>
        <v>11</v>
      </c>
      <c r="F36" s="31">
        <f>$B$1</f>
        <v>150</v>
      </c>
      <c r="G36" s="31">
        <f t="shared" ref="G36:I36" si="38">C36*$B$1</f>
        <v>1200</v>
      </c>
      <c r="H36" s="31">
        <f t="shared" si="38"/>
        <v>2100</v>
      </c>
      <c r="I36" s="31">
        <f t="shared" si="38"/>
        <v>1650</v>
      </c>
      <c r="J36" s="22" t="s">
        <v>178</v>
      </c>
      <c r="K36" s="29"/>
      <c r="L36" s="30"/>
      <c r="M36" s="29"/>
    </row>
    <row r="37"/>
    <row r="38">
      <c r="A38" s="23" t="s">
        <v>179</v>
      </c>
      <c r="C38" s="13">
        <f t="shared" ref="C38:E38" si="39">C19+C33</f>
        <v>227</v>
      </c>
      <c r="D38" s="13">
        <f t="shared" si="39"/>
        <v>407</v>
      </c>
      <c r="E38" s="13">
        <f t="shared" si="39"/>
        <v>317</v>
      </c>
      <c r="F38" s="33">
        <f>$B$1</f>
        <v>150</v>
      </c>
      <c r="G38" s="36">
        <f t="shared" ref="G38:I38" si="40">G19+G33</f>
        <v>34050</v>
      </c>
      <c r="H38" s="36">
        <f t="shared" si="40"/>
        <v>61050</v>
      </c>
      <c r="I38" s="36">
        <f t="shared" si="40"/>
        <v>47550</v>
      </c>
      <c r="L38" s="37"/>
    </row>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3">
    <mergeCell ref="A4:J4"/>
    <mergeCell ref="A21:J21"/>
    <mergeCell ref="A35:J35"/>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5.0"/>
    <col customWidth="1" min="2" max="2" width="50.0"/>
    <col customWidth="1" min="3" max="4" width="12.0"/>
    <col customWidth="1" min="5" max="5" width="45.0"/>
    <col customWidth="1" min="6" max="6" width="55.0"/>
    <col customWidth="1" min="7" max="7" width="25.0"/>
    <col customWidth="1" min="8" max="8" width="10.0"/>
    <col customWidth="1" min="9" max="26" width="8.71"/>
  </cols>
  <sheetData>
    <row r="1">
      <c r="A1" s="2" t="s">
        <v>180</v>
      </c>
      <c r="B1" s="2" t="s">
        <v>181</v>
      </c>
      <c r="C1" s="2" t="s">
        <v>182</v>
      </c>
      <c r="D1" s="2" t="s">
        <v>183</v>
      </c>
      <c r="E1" s="2" t="s">
        <v>184</v>
      </c>
      <c r="F1" s="2" t="s">
        <v>185</v>
      </c>
      <c r="G1" s="2" t="s">
        <v>186</v>
      </c>
      <c r="H1" s="2" t="s">
        <v>187</v>
      </c>
    </row>
    <row r="2">
      <c r="A2" s="21">
        <v>1.0</v>
      </c>
      <c r="B2" s="21" t="s">
        <v>188</v>
      </c>
      <c r="C2" s="38" t="s">
        <v>189</v>
      </c>
      <c r="D2" s="21" t="s">
        <v>189</v>
      </c>
      <c r="E2" s="21" t="s">
        <v>190</v>
      </c>
      <c r="F2" s="21" t="s">
        <v>191</v>
      </c>
      <c r="G2" s="21" t="s">
        <v>192</v>
      </c>
      <c r="H2" s="21" t="s">
        <v>193</v>
      </c>
    </row>
    <row r="3">
      <c r="A3" s="22">
        <v>2.0</v>
      </c>
      <c r="B3" s="22" t="s">
        <v>194</v>
      </c>
      <c r="C3" s="38" t="s">
        <v>189</v>
      </c>
      <c r="D3" s="22" t="s">
        <v>189</v>
      </c>
      <c r="E3" s="22" t="s">
        <v>195</v>
      </c>
      <c r="F3" s="22" t="s">
        <v>196</v>
      </c>
      <c r="G3" s="22" t="s">
        <v>197</v>
      </c>
      <c r="H3" s="22" t="s">
        <v>193</v>
      </c>
    </row>
    <row r="4">
      <c r="A4" s="21">
        <v>3.0</v>
      </c>
      <c r="B4" s="21" t="s">
        <v>198</v>
      </c>
      <c r="C4" s="38" t="s">
        <v>189</v>
      </c>
      <c r="D4" s="21" t="s">
        <v>199</v>
      </c>
      <c r="E4" s="21" t="s">
        <v>200</v>
      </c>
      <c r="F4" s="21" t="s">
        <v>201</v>
      </c>
      <c r="G4" s="21" t="s">
        <v>202</v>
      </c>
      <c r="H4" s="21" t="s">
        <v>193</v>
      </c>
    </row>
    <row r="5">
      <c r="A5" s="22">
        <v>4.0</v>
      </c>
      <c r="B5" s="22" t="s">
        <v>203</v>
      </c>
      <c r="C5" s="38" t="s">
        <v>189</v>
      </c>
      <c r="D5" s="22" t="s">
        <v>199</v>
      </c>
      <c r="E5" s="22" t="s">
        <v>204</v>
      </c>
      <c r="F5" s="22" t="s">
        <v>205</v>
      </c>
      <c r="G5" s="22" t="s">
        <v>202</v>
      </c>
      <c r="H5" s="22" t="s">
        <v>193</v>
      </c>
    </row>
    <row r="6">
      <c r="A6" s="21">
        <v>5.0</v>
      </c>
      <c r="B6" s="21" t="s">
        <v>206</v>
      </c>
      <c r="C6" s="39" t="s">
        <v>199</v>
      </c>
      <c r="D6" s="21" t="s">
        <v>189</v>
      </c>
      <c r="E6" s="21" t="s">
        <v>207</v>
      </c>
      <c r="F6" s="21" t="s">
        <v>208</v>
      </c>
      <c r="G6" s="21" t="s">
        <v>209</v>
      </c>
      <c r="H6" s="21" t="s">
        <v>193</v>
      </c>
    </row>
    <row r="7">
      <c r="A7" s="22">
        <v>6.0</v>
      </c>
      <c r="B7" s="22" t="s">
        <v>210</v>
      </c>
      <c r="C7" s="39" t="s">
        <v>199</v>
      </c>
      <c r="D7" s="22" t="s">
        <v>189</v>
      </c>
      <c r="E7" s="22" t="s">
        <v>211</v>
      </c>
      <c r="F7" s="22" t="s">
        <v>212</v>
      </c>
      <c r="G7" s="22" t="s">
        <v>202</v>
      </c>
      <c r="H7" s="22" t="s">
        <v>193</v>
      </c>
    </row>
    <row r="8">
      <c r="A8" s="21">
        <v>7.0</v>
      </c>
      <c r="B8" s="21" t="s">
        <v>213</v>
      </c>
      <c r="C8" s="39" t="s">
        <v>199</v>
      </c>
      <c r="D8" s="21" t="s">
        <v>199</v>
      </c>
      <c r="E8" s="21" t="s">
        <v>214</v>
      </c>
      <c r="F8" s="21" t="s">
        <v>215</v>
      </c>
      <c r="G8" s="21" t="s">
        <v>209</v>
      </c>
      <c r="H8" s="21" t="s">
        <v>193</v>
      </c>
    </row>
    <row r="9">
      <c r="A9" s="22">
        <v>8.0</v>
      </c>
      <c r="B9" s="22" t="s">
        <v>216</v>
      </c>
      <c r="C9" s="39" t="s">
        <v>199</v>
      </c>
      <c r="D9" s="22" t="s">
        <v>189</v>
      </c>
      <c r="E9" s="22" t="s">
        <v>217</v>
      </c>
      <c r="F9" s="22" t="s">
        <v>218</v>
      </c>
      <c r="G9" s="22" t="s">
        <v>219</v>
      </c>
      <c r="H9" s="22" t="s">
        <v>193</v>
      </c>
    </row>
    <row r="10">
      <c r="A10" s="21">
        <v>9.0</v>
      </c>
      <c r="B10" s="21" t="s">
        <v>220</v>
      </c>
      <c r="C10" s="40" t="s">
        <v>221</v>
      </c>
      <c r="D10" s="21" t="s">
        <v>199</v>
      </c>
      <c r="E10" s="21" t="s">
        <v>222</v>
      </c>
      <c r="F10" s="21" t="s">
        <v>223</v>
      </c>
      <c r="G10" s="21" t="s">
        <v>209</v>
      </c>
      <c r="H10" s="21" t="s">
        <v>193</v>
      </c>
    </row>
    <row r="11">
      <c r="A11" s="22">
        <v>10.0</v>
      </c>
      <c r="B11" s="22" t="s">
        <v>224</v>
      </c>
      <c r="C11" s="40" t="s">
        <v>221</v>
      </c>
      <c r="D11" s="22" t="s">
        <v>221</v>
      </c>
      <c r="E11" s="22" t="s">
        <v>225</v>
      </c>
      <c r="F11" s="22" t="s">
        <v>226</v>
      </c>
      <c r="G11" s="22" t="s">
        <v>209</v>
      </c>
      <c r="H11" s="22" t="s">
        <v>193</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pageSetUpPr/>
  </sheetPr>
  <sheetViews>
    <sheetView workbookViewId="0"/>
  </sheetViews>
  <sheetFormatPr customHeight="1" defaultColWidth="14.43" defaultRowHeight="15.75"/>
  <cols>
    <col customWidth="1" min="1" max="1" width="21.57"/>
    <col customWidth="1" min="2" max="2" width="85.0"/>
    <col customWidth="1" min="3" max="26" width="8.71"/>
  </cols>
  <sheetData>
    <row r="1">
      <c r="A1" s="23" t="s">
        <v>227</v>
      </c>
    </row>
    <row r="2">
      <c r="A2" s="24">
        <v>1.0</v>
      </c>
      <c r="B2" s="24" t="s">
        <v>228</v>
      </c>
      <c r="C2" s="24"/>
    </row>
    <row r="3">
      <c r="A3" s="24">
        <v>2.0</v>
      </c>
      <c r="B3" s="24" t="s">
        <v>229</v>
      </c>
      <c r="C3" s="24"/>
    </row>
    <row r="4">
      <c r="A4" s="24">
        <v>3.0</v>
      </c>
      <c r="B4" s="24" t="s">
        <v>230</v>
      </c>
      <c r="C4" s="24"/>
    </row>
    <row r="5">
      <c r="A5" s="24">
        <v>4.0</v>
      </c>
      <c r="B5" s="24" t="s">
        <v>231</v>
      </c>
      <c r="C5" s="24"/>
    </row>
    <row r="6">
      <c r="A6" s="24">
        <v>5.0</v>
      </c>
      <c r="B6" s="24" t="s">
        <v>232</v>
      </c>
      <c r="C6" s="24"/>
    </row>
    <row r="7">
      <c r="A7" s="24">
        <v>6.0</v>
      </c>
      <c r="B7" s="24" t="s">
        <v>233</v>
      </c>
      <c r="C7" s="24"/>
    </row>
    <row r="8">
      <c r="A8" s="24">
        <v>7.0</v>
      </c>
      <c r="B8" s="24" t="s">
        <v>234</v>
      </c>
      <c r="C8" s="24"/>
    </row>
    <row r="9">
      <c r="A9" s="24">
        <v>8.0</v>
      </c>
      <c r="B9" s="24" t="s">
        <v>235</v>
      </c>
      <c r="C9" s="24"/>
    </row>
    <row r="10">
      <c r="A10" s="24">
        <v>9.0</v>
      </c>
      <c r="B10" s="24" t="s">
        <v>236</v>
      </c>
      <c r="C10" s="24"/>
    </row>
    <row r="11">
      <c r="A11" s="24">
        <v>10.0</v>
      </c>
      <c r="B11" s="24" t="s">
        <v>237</v>
      </c>
      <c r="C11" s="24"/>
    </row>
    <row r="12">
      <c r="A12" s="24">
        <v>11.0</v>
      </c>
      <c r="B12" s="24" t="s">
        <v>238</v>
      </c>
      <c r="C12" s="24"/>
    </row>
    <row r="13">
      <c r="A13" s="24">
        <v>12.0</v>
      </c>
      <c r="B13" s="24" t="s">
        <v>239</v>
      </c>
      <c r="C13" s="24"/>
    </row>
    <row r="14">
      <c r="A14" s="24">
        <v>13.0</v>
      </c>
      <c r="B14" s="24" t="s">
        <v>240</v>
      </c>
      <c r="C14" s="24"/>
    </row>
    <row r="15">
      <c r="A15" s="24">
        <v>14.0</v>
      </c>
      <c r="B15" s="24" t="s">
        <v>241</v>
      </c>
      <c r="C15" s="24"/>
    </row>
    <row r="16">
      <c r="A16" s="24">
        <v>15.0</v>
      </c>
      <c r="B16" s="24" t="s">
        <v>242</v>
      </c>
      <c r="C16" s="24"/>
    </row>
    <row r="17">
      <c r="A17" s="24">
        <v>16.0</v>
      </c>
      <c r="B17" s="24" t="s">
        <v>243</v>
      </c>
      <c r="C17" s="24"/>
    </row>
    <row r="18">
      <c r="A18" s="24">
        <v>17.0</v>
      </c>
      <c r="B18" s="24" t="s">
        <v>244</v>
      </c>
      <c r="C18" s="24"/>
    </row>
    <row r="19">
      <c r="A19" s="24">
        <v>18.0</v>
      </c>
      <c r="B19" s="24" t="s">
        <v>245</v>
      </c>
      <c r="C19" s="24"/>
    </row>
    <row r="20">
      <c r="A20" s="24"/>
      <c r="B20" s="24"/>
      <c r="C20" s="24"/>
    </row>
    <row r="21">
      <c r="A21" s="24" t="s">
        <v>246</v>
      </c>
      <c r="B21" s="24"/>
      <c r="C21" s="24"/>
    </row>
    <row r="22">
      <c r="A22" s="24">
        <v>1.0</v>
      </c>
      <c r="B22" s="24" t="s">
        <v>247</v>
      </c>
      <c r="C22" s="24"/>
    </row>
    <row r="23">
      <c r="A23" s="24">
        <v>2.0</v>
      </c>
      <c r="B23" s="24" t="s">
        <v>248</v>
      </c>
      <c r="C23" s="24"/>
    </row>
    <row r="24">
      <c r="A24" s="24">
        <v>3.0</v>
      </c>
      <c r="B24" s="24" t="s">
        <v>249</v>
      </c>
      <c r="C24" s="24"/>
    </row>
    <row r="25">
      <c r="A25" s="24">
        <v>4.0</v>
      </c>
      <c r="B25" s="24" t="s">
        <v>250</v>
      </c>
      <c r="C25" s="24"/>
    </row>
    <row r="26">
      <c r="A26" s="24">
        <v>5.0</v>
      </c>
      <c r="B26" s="24" t="s">
        <v>251</v>
      </c>
      <c r="C26" s="24"/>
    </row>
    <row r="27">
      <c r="A27" s="24">
        <v>6.0</v>
      </c>
      <c r="B27" s="24" t="s">
        <v>252</v>
      </c>
      <c r="C27" s="24"/>
    </row>
    <row r="28">
      <c r="A28" s="24">
        <v>7.0</v>
      </c>
      <c r="B28" s="24" t="s">
        <v>253</v>
      </c>
      <c r="C28" s="24"/>
    </row>
    <row r="29">
      <c r="A29" s="24">
        <v>8.0</v>
      </c>
      <c r="B29" s="24" t="s">
        <v>254</v>
      </c>
      <c r="C29" s="24"/>
    </row>
    <row r="30">
      <c r="A30" s="24">
        <v>9.0</v>
      </c>
      <c r="B30" s="24" t="s">
        <v>255</v>
      </c>
      <c r="C30" s="24"/>
    </row>
    <row r="31">
      <c r="A31" s="24">
        <v>10.0</v>
      </c>
      <c r="B31" s="24" t="s">
        <v>256</v>
      </c>
      <c r="C31" s="24"/>
    </row>
    <row r="32">
      <c r="A32" s="24">
        <v>11.0</v>
      </c>
      <c r="B32" s="24" t="s">
        <v>257</v>
      </c>
      <c r="C32" s="24"/>
    </row>
    <row r="33">
      <c r="A33" s="24"/>
      <c r="B33" s="24"/>
      <c r="C33" s="24"/>
    </row>
    <row r="34">
      <c r="A34" s="24" t="s">
        <v>258</v>
      </c>
      <c r="B34" s="24"/>
      <c r="C34" s="24"/>
    </row>
    <row r="35">
      <c r="A35" s="24">
        <v>1.0</v>
      </c>
      <c r="B35" s="24" t="s">
        <v>259</v>
      </c>
      <c r="C35" s="24"/>
    </row>
    <row r="36">
      <c r="A36" s="24">
        <v>2.0</v>
      </c>
      <c r="B36" s="24" t="s">
        <v>260</v>
      </c>
      <c r="C36" s="24"/>
    </row>
    <row r="37">
      <c r="A37" s="24">
        <v>3.0</v>
      </c>
      <c r="B37" s="24" t="s">
        <v>261</v>
      </c>
      <c r="C37" s="24"/>
    </row>
    <row r="38">
      <c r="A38" s="24">
        <v>4.0</v>
      </c>
      <c r="B38" s="24" t="s">
        <v>262</v>
      </c>
      <c r="C38" s="24"/>
    </row>
    <row r="39">
      <c r="A39" s="24">
        <v>5.0</v>
      </c>
      <c r="B39" s="24" t="s">
        <v>263</v>
      </c>
      <c r="C39" s="24"/>
    </row>
    <row r="40">
      <c r="A40" s="24">
        <v>6.0</v>
      </c>
      <c r="B40" s="24" t="s">
        <v>264</v>
      </c>
      <c r="C40" s="24"/>
    </row>
    <row r="41">
      <c r="A41" s="24">
        <v>7.0</v>
      </c>
      <c r="B41" s="24" t="s">
        <v>265</v>
      </c>
      <c r="C41" s="24"/>
    </row>
    <row r="42">
      <c r="A42" s="24">
        <v>8.0</v>
      </c>
      <c r="B42" s="24" t="s">
        <v>266</v>
      </c>
      <c r="C42" s="24"/>
    </row>
    <row r="43">
      <c r="A43" s="24">
        <v>9.0</v>
      </c>
      <c r="B43" s="24" t="s">
        <v>267</v>
      </c>
      <c r="C43" s="24"/>
    </row>
    <row r="44">
      <c r="A44" s="24">
        <v>10.0</v>
      </c>
      <c r="B44" s="24" t="s">
        <v>268</v>
      </c>
      <c r="C44" s="24"/>
    </row>
    <row r="45">
      <c r="A45" s="24">
        <v>11.0</v>
      </c>
      <c r="B45" s="24" t="s">
        <v>269</v>
      </c>
      <c r="C45" s="24"/>
    </row>
    <row r="46">
      <c r="A46" s="24">
        <v>12.0</v>
      </c>
      <c r="B46" s="24" t="s">
        <v>270</v>
      </c>
      <c r="C46" s="24"/>
    </row>
    <row r="47">
      <c r="A47" s="24"/>
      <c r="B47" s="24"/>
      <c r="C47" s="24"/>
    </row>
    <row r="48">
      <c r="A48" s="24" t="s">
        <v>271</v>
      </c>
      <c r="B48" s="24"/>
      <c r="C48" s="24"/>
    </row>
    <row r="49">
      <c r="A49" s="24">
        <v>1.0</v>
      </c>
      <c r="B49" s="24" t="s">
        <v>272</v>
      </c>
      <c r="C49" s="24"/>
    </row>
    <row r="50">
      <c r="A50" s="24">
        <v>2.0</v>
      </c>
      <c r="B50" s="24" t="s">
        <v>273</v>
      </c>
      <c r="C50" s="24"/>
    </row>
    <row r="51">
      <c r="A51" s="24">
        <v>3.0</v>
      </c>
      <c r="B51" s="24" t="s">
        <v>274</v>
      </c>
      <c r="C51" s="24"/>
    </row>
    <row r="52">
      <c r="A52" s="24">
        <v>4.0</v>
      </c>
      <c r="B52" s="24" t="s">
        <v>275</v>
      </c>
      <c r="C52" s="24"/>
    </row>
    <row r="53">
      <c r="A53" s="24">
        <v>5.0</v>
      </c>
      <c r="B53" s="24" t="s">
        <v>276</v>
      </c>
      <c r="C53" s="24"/>
    </row>
    <row r="54">
      <c r="A54" s="24">
        <v>6.0</v>
      </c>
      <c r="B54" s="24" t="s">
        <v>277</v>
      </c>
      <c r="C54" s="24"/>
    </row>
    <row r="55">
      <c r="A55" s="24">
        <v>7.0</v>
      </c>
      <c r="B55" s="24" t="s">
        <v>278</v>
      </c>
      <c r="C55" s="24"/>
    </row>
    <row r="56">
      <c r="A56" s="24">
        <v>8.0</v>
      </c>
      <c r="B56" s="24" t="s">
        <v>279</v>
      </c>
      <c r="C56" s="24"/>
    </row>
    <row r="57">
      <c r="A57" s="24">
        <v>9.0</v>
      </c>
      <c r="B57" s="24" t="s">
        <v>280</v>
      </c>
      <c r="C57" s="24"/>
    </row>
    <row r="58">
      <c r="A58" s="24">
        <v>10.0</v>
      </c>
      <c r="B58" s="24" t="s">
        <v>281</v>
      </c>
      <c r="C58" s="24"/>
    </row>
    <row r="59">
      <c r="A59" s="24">
        <v>11.0</v>
      </c>
      <c r="B59" s="24" t="s">
        <v>282</v>
      </c>
      <c r="C59" s="24"/>
    </row>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pageSetUpPr/>
  </sheetPr>
  <sheetViews>
    <sheetView workbookViewId="0">
      <pane ySplit="3.0" topLeftCell="A4" activePane="bottomLeft" state="frozen"/>
      <selection activeCell="B5" sqref="B5" pane="bottomLeft"/>
    </sheetView>
  </sheetViews>
  <sheetFormatPr customHeight="1" defaultColWidth="14.43" defaultRowHeight="15.75"/>
  <cols>
    <col customWidth="1" min="1" max="1" width="25.0"/>
    <col customWidth="1" min="2" max="3" width="50.0"/>
    <col customWidth="1" min="4" max="26" width="8.71"/>
  </cols>
  <sheetData>
    <row r="1">
      <c r="A1" s="1" t="s">
        <v>283</v>
      </c>
    </row>
    <row r="3">
      <c r="A3" s="2" t="s">
        <v>77</v>
      </c>
      <c r="B3" s="2" t="s">
        <v>284</v>
      </c>
      <c r="C3" s="2" t="s">
        <v>285</v>
      </c>
    </row>
    <row r="4">
      <c r="A4" s="21" t="s">
        <v>80</v>
      </c>
      <c r="B4" s="21" t="s">
        <v>286</v>
      </c>
      <c r="C4" s="21" t="s">
        <v>287</v>
      </c>
    </row>
    <row r="5">
      <c r="A5" s="22" t="s">
        <v>83</v>
      </c>
      <c r="B5" s="22" t="s">
        <v>288</v>
      </c>
      <c r="C5" s="22" t="s">
        <v>288</v>
      </c>
    </row>
    <row r="6">
      <c r="A6" s="21" t="s">
        <v>54</v>
      </c>
      <c r="B6" s="21" t="s">
        <v>55</v>
      </c>
      <c r="C6" s="21" t="s">
        <v>55</v>
      </c>
    </row>
    <row r="7">
      <c r="A7" s="22" t="s">
        <v>88</v>
      </c>
      <c r="B7" s="22" t="s">
        <v>289</v>
      </c>
      <c r="C7" s="22" t="s">
        <v>290</v>
      </c>
    </row>
    <row r="8">
      <c r="A8" s="21" t="s">
        <v>91</v>
      </c>
      <c r="B8" s="21" t="s">
        <v>291</v>
      </c>
      <c r="C8" s="21" t="s">
        <v>292</v>
      </c>
    </row>
    <row r="9">
      <c r="A9" s="22" t="s">
        <v>94</v>
      </c>
      <c r="B9" s="22" t="s">
        <v>293</v>
      </c>
      <c r="C9" s="22" t="s">
        <v>294</v>
      </c>
    </row>
    <row r="10">
      <c r="A10" s="21" t="s">
        <v>97</v>
      </c>
      <c r="B10" s="21" t="s">
        <v>295</v>
      </c>
      <c r="C10" s="21" t="s">
        <v>296</v>
      </c>
    </row>
    <row r="11">
      <c r="A11" s="22" t="s">
        <v>100</v>
      </c>
      <c r="B11" s="22" t="s">
        <v>297</v>
      </c>
      <c r="C11" s="22" t="s">
        <v>298</v>
      </c>
    </row>
    <row r="12">
      <c r="A12" s="21" t="s">
        <v>103</v>
      </c>
      <c r="B12" s="21" t="s">
        <v>299</v>
      </c>
      <c r="C12" s="21" t="s">
        <v>300</v>
      </c>
    </row>
    <row r="13">
      <c r="A13" s="22" t="s">
        <v>106</v>
      </c>
      <c r="B13" s="22" t="s">
        <v>301</v>
      </c>
      <c r="C13" s="22" t="s">
        <v>301</v>
      </c>
    </row>
    <row r="15">
      <c r="A15" s="23" t="s">
        <v>111</v>
      </c>
    </row>
    <row r="16">
      <c r="A16" s="24" t="s">
        <v>302</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3">
    <mergeCell ref="A1:C1"/>
    <mergeCell ref="A15:C15"/>
    <mergeCell ref="A16:C16"/>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75"/>
  <cols>
    <col customWidth="1" min="1" max="1" width="30.0"/>
    <col customWidth="1" min="2" max="2" width="55.0"/>
    <col customWidth="1" min="3" max="4" width="12.0"/>
    <col customWidth="1" min="5" max="5" width="14.0"/>
    <col customWidth="1" min="6" max="6" width="10.0"/>
    <col customWidth="1" min="7" max="8" width="12.0"/>
    <col customWidth="1" min="9" max="9" width="14.0"/>
    <col customWidth="1" min="10" max="10" width="55.0"/>
    <col customWidth="1" min="11" max="12" width="14.0"/>
    <col customWidth="1" min="13" max="13" width="12.0"/>
    <col customWidth="1" min="14" max="26" width="8.71"/>
  </cols>
  <sheetData>
    <row r="1">
      <c r="A1" s="25" t="s">
        <v>113</v>
      </c>
      <c r="B1" s="26">
        <v>150.0</v>
      </c>
    </row>
    <row r="3">
      <c r="A3" s="2" t="s">
        <v>1</v>
      </c>
      <c r="B3" s="2" t="s">
        <v>80</v>
      </c>
      <c r="C3" s="2" t="s">
        <v>114</v>
      </c>
      <c r="D3" s="2" t="s">
        <v>115</v>
      </c>
      <c r="E3" s="2" t="s">
        <v>48</v>
      </c>
      <c r="F3" s="2" t="s">
        <v>116</v>
      </c>
      <c r="G3" s="2" t="s">
        <v>117</v>
      </c>
      <c r="H3" s="2" t="s">
        <v>118</v>
      </c>
      <c r="I3" s="2" t="s">
        <v>119</v>
      </c>
      <c r="J3" s="2" t="s">
        <v>120</v>
      </c>
      <c r="K3" s="27" t="s">
        <v>121</v>
      </c>
      <c r="L3" s="27" t="s">
        <v>122</v>
      </c>
      <c r="M3" s="27" t="s">
        <v>123</v>
      </c>
    </row>
    <row r="4">
      <c r="A4" s="21" t="s">
        <v>8</v>
      </c>
      <c r="B4" s="21" t="s">
        <v>303</v>
      </c>
      <c r="C4" s="21">
        <v>8.0</v>
      </c>
      <c r="D4" s="21">
        <v>16.0</v>
      </c>
      <c r="E4" s="21">
        <f t="shared" ref="E4:E15" si="2">AVERAGE(C4,D4)</f>
        <v>12</v>
      </c>
      <c r="F4" s="28">
        <f t="shared" ref="F4:F16" si="3">$B$1</f>
        <v>150</v>
      </c>
      <c r="G4" s="28">
        <f t="shared" ref="G4:I4" si="1">C4*$B$1</f>
        <v>1200</v>
      </c>
      <c r="H4" s="28">
        <f t="shared" si="1"/>
        <v>2400</v>
      </c>
      <c r="I4" s="28">
        <f t="shared" si="1"/>
        <v>1800</v>
      </c>
      <c r="J4" s="21" t="s">
        <v>304</v>
      </c>
      <c r="K4" s="29"/>
      <c r="L4" s="30"/>
      <c r="M4" s="29" t="str">
        <f t="shared" ref="M4:M15" si="5">IF(K4="","",K4-E4)</f>
        <v/>
      </c>
    </row>
    <row r="5">
      <c r="A5" s="22" t="s">
        <v>10</v>
      </c>
      <c r="B5" s="22" t="s">
        <v>305</v>
      </c>
      <c r="C5" s="22">
        <v>16.0</v>
      </c>
      <c r="D5" s="22">
        <v>32.0</v>
      </c>
      <c r="E5" s="22">
        <f t="shared" si="2"/>
        <v>24</v>
      </c>
      <c r="F5" s="31">
        <f t="shared" si="3"/>
        <v>150</v>
      </c>
      <c r="G5" s="31">
        <f t="shared" ref="G5:I5" si="4">C5*$B$1</f>
        <v>2400</v>
      </c>
      <c r="H5" s="31">
        <f t="shared" si="4"/>
        <v>4800</v>
      </c>
      <c r="I5" s="31">
        <f t="shared" si="4"/>
        <v>3600</v>
      </c>
      <c r="J5" s="22" t="s">
        <v>306</v>
      </c>
      <c r="K5" s="29"/>
      <c r="L5" s="30"/>
      <c r="M5" s="29" t="str">
        <f t="shared" si="5"/>
        <v/>
      </c>
    </row>
    <row r="6">
      <c r="A6" s="21" t="s">
        <v>11</v>
      </c>
      <c r="B6" s="21" t="s">
        <v>307</v>
      </c>
      <c r="C6" s="21">
        <v>16.0</v>
      </c>
      <c r="D6" s="21">
        <v>32.0</v>
      </c>
      <c r="E6" s="21">
        <f t="shared" si="2"/>
        <v>24</v>
      </c>
      <c r="F6" s="28">
        <f t="shared" si="3"/>
        <v>150</v>
      </c>
      <c r="G6" s="28">
        <f t="shared" ref="G6:I6" si="6">C6*$B$1</f>
        <v>2400</v>
      </c>
      <c r="H6" s="28">
        <f t="shared" si="6"/>
        <v>4800</v>
      </c>
      <c r="I6" s="28">
        <f t="shared" si="6"/>
        <v>3600</v>
      </c>
      <c r="J6" s="21" t="s">
        <v>308</v>
      </c>
      <c r="K6" s="29"/>
      <c r="L6" s="30"/>
      <c r="M6" s="29" t="str">
        <f t="shared" si="5"/>
        <v/>
      </c>
    </row>
    <row r="7">
      <c r="A7" s="22" t="s">
        <v>12</v>
      </c>
      <c r="B7" s="22" t="s">
        <v>309</v>
      </c>
      <c r="C7" s="22">
        <v>6.0</v>
      </c>
      <c r="D7" s="22">
        <v>14.0</v>
      </c>
      <c r="E7" s="22">
        <f t="shared" si="2"/>
        <v>10</v>
      </c>
      <c r="F7" s="31">
        <f t="shared" si="3"/>
        <v>150</v>
      </c>
      <c r="G7" s="31">
        <f t="shared" ref="G7:I7" si="7">C7*$B$1</f>
        <v>900</v>
      </c>
      <c r="H7" s="31">
        <f t="shared" si="7"/>
        <v>2100</v>
      </c>
      <c r="I7" s="31">
        <f t="shared" si="7"/>
        <v>1500</v>
      </c>
      <c r="J7" s="22" t="s">
        <v>310</v>
      </c>
      <c r="K7" s="29"/>
      <c r="L7" s="30"/>
      <c r="M7" s="29" t="str">
        <f t="shared" si="5"/>
        <v/>
      </c>
    </row>
    <row r="8">
      <c r="A8" s="21" t="s">
        <v>13</v>
      </c>
      <c r="B8" s="21" t="s">
        <v>311</v>
      </c>
      <c r="C8" s="21">
        <v>14.0</v>
      </c>
      <c r="D8" s="21">
        <v>26.0</v>
      </c>
      <c r="E8" s="21">
        <f t="shared" si="2"/>
        <v>20</v>
      </c>
      <c r="F8" s="28">
        <f t="shared" si="3"/>
        <v>150</v>
      </c>
      <c r="G8" s="28">
        <f t="shared" ref="G8:I8" si="8">C8*$B$1</f>
        <v>2100</v>
      </c>
      <c r="H8" s="28">
        <f t="shared" si="8"/>
        <v>3900</v>
      </c>
      <c r="I8" s="28">
        <f t="shared" si="8"/>
        <v>3000</v>
      </c>
      <c r="J8" s="21" t="s">
        <v>312</v>
      </c>
      <c r="K8" s="29"/>
      <c r="L8" s="30"/>
      <c r="M8" s="29" t="str">
        <f t="shared" si="5"/>
        <v/>
      </c>
    </row>
    <row r="9">
      <c r="A9" s="22" t="s">
        <v>14</v>
      </c>
      <c r="B9" s="22" t="s">
        <v>313</v>
      </c>
      <c r="C9" s="22">
        <v>10.0</v>
      </c>
      <c r="D9" s="22">
        <v>18.0</v>
      </c>
      <c r="E9" s="22">
        <f t="shared" si="2"/>
        <v>14</v>
      </c>
      <c r="F9" s="31">
        <f t="shared" si="3"/>
        <v>150</v>
      </c>
      <c r="G9" s="31">
        <f t="shared" ref="G9:I9" si="9">C9*$B$1</f>
        <v>1500</v>
      </c>
      <c r="H9" s="31">
        <f t="shared" si="9"/>
        <v>2700</v>
      </c>
      <c r="I9" s="31">
        <f t="shared" si="9"/>
        <v>2100</v>
      </c>
      <c r="J9" s="22" t="s">
        <v>314</v>
      </c>
      <c r="K9" s="29"/>
      <c r="L9" s="30"/>
      <c r="M9" s="29" t="str">
        <f t="shared" si="5"/>
        <v/>
      </c>
    </row>
    <row r="10">
      <c r="A10" s="21" t="s">
        <v>15</v>
      </c>
      <c r="B10" s="21" t="s">
        <v>315</v>
      </c>
      <c r="C10" s="21">
        <v>4.0</v>
      </c>
      <c r="D10" s="21">
        <v>8.0</v>
      </c>
      <c r="E10" s="21">
        <f t="shared" si="2"/>
        <v>6</v>
      </c>
      <c r="F10" s="28">
        <f t="shared" si="3"/>
        <v>150</v>
      </c>
      <c r="G10" s="28">
        <f t="shared" ref="G10:I10" si="10">C10*$B$1</f>
        <v>600</v>
      </c>
      <c r="H10" s="28">
        <f t="shared" si="10"/>
        <v>1200</v>
      </c>
      <c r="I10" s="28">
        <f t="shared" si="10"/>
        <v>900</v>
      </c>
      <c r="J10" s="21" t="s">
        <v>316</v>
      </c>
      <c r="K10" s="29"/>
      <c r="L10" s="30"/>
      <c r="M10" s="29" t="str">
        <f t="shared" si="5"/>
        <v/>
      </c>
    </row>
    <row r="11">
      <c r="A11" s="22" t="s">
        <v>16</v>
      </c>
      <c r="B11" s="22" t="s">
        <v>317</v>
      </c>
      <c r="C11" s="22">
        <v>4.0</v>
      </c>
      <c r="D11" s="22">
        <v>8.0</v>
      </c>
      <c r="E11" s="22">
        <f t="shared" si="2"/>
        <v>6</v>
      </c>
      <c r="F11" s="31">
        <f t="shared" si="3"/>
        <v>150</v>
      </c>
      <c r="G11" s="31">
        <f t="shared" ref="G11:I11" si="11">C11*$B$1</f>
        <v>600</v>
      </c>
      <c r="H11" s="31">
        <f t="shared" si="11"/>
        <v>1200</v>
      </c>
      <c r="I11" s="31">
        <f t="shared" si="11"/>
        <v>900</v>
      </c>
      <c r="J11" s="22" t="s">
        <v>318</v>
      </c>
      <c r="K11" s="29"/>
      <c r="L11" s="30"/>
      <c r="M11" s="29" t="str">
        <f t="shared" si="5"/>
        <v/>
      </c>
    </row>
    <row r="12">
      <c r="A12" s="21" t="s">
        <v>17</v>
      </c>
      <c r="B12" s="21" t="s">
        <v>319</v>
      </c>
      <c r="C12" s="21">
        <v>6.0</v>
      </c>
      <c r="D12" s="21">
        <v>10.0</v>
      </c>
      <c r="E12" s="21">
        <f t="shared" si="2"/>
        <v>8</v>
      </c>
      <c r="F12" s="28">
        <f t="shared" si="3"/>
        <v>150</v>
      </c>
      <c r="G12" s="28">
        <f t="shared" ref="G12:I12" si="12">C12*$B$1</f>
        <v>900</v>
      </c>
      <c r="H12" s="28">
        <f t="shared" si="12"/>
        <v>1500</v>
      </c>
      <c r="I12" s="28">
        <f t="shared" si="12"/>
        <v>1200</v>
      </c>
      <c r="J12" s="21" t="s">
        <v>320</v>
      </c>
      <c r="K12" s="29"/>
      <c r="L12" s="30"/>
      <c r="M12" s="29" t="str">
        <f t="shared" si="5"/>
        <v/>
      </c>
    </row>
    <row r="13">
      <c r="A13" s="22" t="s">
        <v>18</v>
      </c>
      <c r="B13" s="22" t="s">
        <v>321</v>
      </c>
      <c r="C13" s="22">
        <v>2.0</v>
      </c>
      <c r="D13" s="22">
        <v>4.0</v>
      </c>
      <c r="E13" s="22">
        <f t="shared" si="2"/>
        <v>3</v>
      </c>
      <c r="F13" s="31">
        <f t="shared" si="3"/>
        <v>150</v>
      </c>
      <c r="G13" s="31">
        <f t="shared" ref="G13:I13" si="13">C13*$B$1</f>
        <v>300</v>
      </c>
      <c r="H13" s="31">
        <f t="shared" si="13"/>
        <v>600</v>
      </c>
      <c r="I13" s="31">
        <f t="shared" si="13"/>
        <v>450</v>
      </c>
      <c r="J13" s="22" t="s">
        <v>322</v>
      </c>
      <c r="K13" s="29"/>
      <c r="L13" s="30"/>
      <c r="M13" s="29" t="str">
        <f t="shared" si="5"/>
        <v/>
      </c>
    </row>
    <row r="14">
      <c r="A14" s="21" t="s">
        <v>19</v>
      </c>
      <c r="B14" s="21" t="s">
        <v>323</v>
      </c>
      <c r="C14" s="21">
        <v>8.0</v>
      </c>
      <c r="D14" s="21">
        <v>12.0</v>
      </c>
      <c r="E14" s="21">
        <f t="shared" si="2"/>
        <v>10</v>
      </c>
      <c r="F14" s="28">
        <f t="shared" si="3"/>
        <v>150</v>
      </c>
      <c r="G14" s="28">
        <f t="shared" ref="G14:I14" si="14">C14*$B$1</f>
        <v>1200</v>
      </c>
      <c r="H14" s="28">
        <f t="shared" si="14"/>
        <v>1800</v>
      </c>
      <c r="I14" s="28">
        <f t="shared" si="14"/>
        <v>1500</v>
      </c>
      <c r="J14" s="21" t="s">
        <v>324</v>
      </c>
      <c r="K14" s="29"/>
      <c r="L14" s="30"/>
      <c r="M14" s="29" t="str">
        <f t="shared" si="5"/>
        <v/>
      </c>
    </row>
    <row r="15">
      <c r="A15" s="22" t="s">
        <v>325</v>
      </c>
      <c r="B15" s="22" t="s">
        <v>326</v>
      </c>
      <c r="C15" s="22">
        <v>14.0</v>
      </c>
      <c r="D15" s="22">
        <v>22.0</v>
      </c>
      <c r="E15" s="22">
        <f t="shared" si="2"/>
        <v>18</v>
      </c>
      <c r="F15" s="31">
        <f t="shared" si="3"/>
        <v>150</v>
      </c>
      <c r="G15" s="31">
        <f t="shared" ref="G15:I15" si="15">C15*$B$1</f>
        <v>2100</v>
      </c>
      <c r="H15" s="31">
        <f t="shared" si="15"/>
        <v>3300</v>
      </c>
      <c r="I15" s="31">
        <f t="shared" si="15"/>
        <v>2700</v>
      </c>
      <c r="J15" s="22" t="s">
        <v>327</v>
      </c>
      <c r="K15" s="29"/>
      <c r="L15" s="30"/>
      <c r="M15" s="29" t="str">
        <f t="shared" si="5"/>
        <v/>
      </c>
    </row>
    <row r="16">
      <c r="A16" s="3" t="s">
        <v>328</v>
      </c>
      <c r="C16" s="32">
        <f t="shared" ref="C16:E16" si="16">SUM(C4:C15)</f>
        <v>108</v>
      </c>
      <c r="D16" s="32">
        <f t="shared" si="16"/>
        <v>202</v>
      </c>
      <c r="E16" s="32">
        <f t="shared" si="16"/>
        <v>155</v>
      </c>
      <c r="F16" s="41">
        <f t="shared" si="3"/>
        <v>150</v>
      </c>
      <c r="G16" s="34">
        <f t="shared" ref="G16:I16" si="17">SUM(G4:G15)</f>
        <v>16200</v>
      </c>
      <c r="H16" s="34">
        <f t="shared" si="17"/>
        <v>30300</v>
      </c>
      <c r="I16" s="34">
        <f t="shared" si="17"/>
        <v>23250</v>
      </c>
      <c r="K16" s="29">
        <f t="shared" ref="K16:L16" si="18">SUM(K4:K15)</f>
        <v>0</v>
      </c>
      <c r="L16" s="30">
        <f t="shared" si="18"/>
        <v>0</v>
      </c>
      <c r="M16" s="29"/>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5.0"/>
    <col customWidth="1" min="2" max="2" width="45.0"/>
    <col customWidth="1" min="3" max="4" width="12.0"/>
    <col customWidth="1" min="5" max="5" width="40.0"/>
    <col customWidth="1" min="6" max="6" width="50.0"/>
    <col customWidth="1" min="7" max="7" width="25.0"/>
    <col customWidth="1" min="8" max="8" width="10.0"/>
    <col customWidth="1" min="9" max="26" width="8.71"/>
  </cols>
  <sheetData>
    <row r="1">
      <c r="A1" s="2" t="s">
        <v>180</v>
      </c>
      <c r="B1" s="2" t="s">
        <v>181</v>
      </c>
      <c r="C1" s="2" t="s">
        <v>182</v>
      </c>
      <c r="D1" s="2" t="s">
        <v>183</v>
      </c>
      <c r="E1" s="2" t="s">
        <v>184</v>
      </c>
      <c r="F1" s="2" t="s">
        <v>185</v>
      </c>
      <c r="G1" s="2" t="s">
        <v>186</v>
      </c>
      <c r="H1" s="2" t="s">
        <v>187</v>
      </c>
    </row>
    <row r="2">
      <c r="A2" s="21">
        <v>1.0</v>
      </c>
      <c r="B2" s="21" t="s">
        <v>329</v>
      </c>
      <c r="C2" s="38" t="s">
        <v>189</v>
      </c>
      <c r="D2" s="21" t="s">
        <v>189</v>
      </c>
      <c r="E2" s="21" t="s">
        <v>330</v>
      </c>
      <c r="F2" s="21" t="s">
        <v>331</v>
      </c>
      <c r="G2" s="21" t="s">
        <v>192</v>
      </c>
      <c r="H2" s="21" t="s">
        <v>193</v>
      </c>
    </row>
    <row r="3">
      <c r="A3" s="22">
        <v>2.0</v>
      </c>
      <c r="B3" s="22" t="s">
        <v>332</v>
      </c>
      <c r="C3" s="38" t="s">
        <v>189</v>
      </c>
      <c r="D3" s="22" t="s">
        <v>189</v>
      </c>
      <c r="E3" s="22" t="s">
        <v>333</v>
      </c>
      <c r="F3" s="22" t="s">
        <v>334</v>
      </c>
      <c r="G3" s="22" t="s">
        <v>335</v>
      </c>
      <c r="H3" s="22" t="s">
        <v>193</v>
      </c>
    </row>
    <row r="4">
      <c r="A4" s="21">
        <v>3.0</v>
      </c>
      <c r="B4" s="21" t="s">
        <v>336</v>
      </c>
      <c r="C4" s="38" t="s">
        <v>189</v>
      </c>
      <c r="D4" s="21" t="s">
        <v>199</v>
      </c>
      <c r="E4" s="21" t="s">
        <v>337</v>
      </c>
      <c r="F4" s="21" t="s">
        <v>338</v>
      </c>
      <c r="G4" s="21" t="s">
        <v>202</v>
      </c>
      <c r="H4" s="21" t="s">
        <v>193</v>
      </c>
    </row>
    <row r="5">
      <c r="A5" s="22">
        <v>4.0</v>
      </c>
      <c r="B5" s="22" t="s">
        <v>339</v>
      </c>
      <c r="C5" s="38" t="s">
        <v>189</v>
      </c>
      <c r="D5" s="22" t="s">
        <v>199</v>
      </c>
      <c r="E5" s="22" t="s">
        <v>340</v>
      </c>
      <c r="F5" s="22" t="s">
        <v>341</v>
      </c>
      <c r="G5" s="22" t="s">
        <v>202</v>
      </c>
      <c r="H5" s="22" t="s">
        <v>193</v>
      </c>
    </row>
    <row r="6">
      <c r="A6" s="21">
        <v>5.0</v>
      </c>
      <c r="B6" s="21" t="s">
        <v>342</v>
      </c>
      <c r="C6" s="39" t="s">
        <v>199</v>
      </c>
      <c r="D6" s="21" t="s">
        <v>189</v>
      </c>
      <c r="E6" s="21" t="s">
        <v>343</v>
      </c>
      <c r="F6" s="21" t="s">
        <v>344</v>
      </c>
      <c r="G6" s="21" t="s">
        <v>202</v>
      </c>
      <c r="H6" s="21" t="s">
        <v>193</v>
      </c>
    </row>
    <row r="7">
      <c r="A7" s="22">
        <v>6.0</v>
      </c>
      <c r="B7" s="22" t="s">
        <v>345</v>
      </c>
      <c r="C7" s="39" t="s">
        <v>199</v>
      </c>
      <c r="D7" s="22" t="s">
        <v>189</v>
      </c>
      <c r="E7" s="22" t="s">
        <v>346</v>
      </c>
      <c r="F7" s="22" t="s">
        <v>347</v>
      </c>
      <c r="G7" s="22" t="s">
        <v>219</v>
      </c>
      <c r="H7" s="22" t="s">
        <v>193</v>
      </c>
    </row>
    <row r="8">
      <c r="A8" s="21">
        <v>7.0</v>
      </c>
      <c r="B8" s="21" t="s">
        <v>220</v>
      </c>
      <c r="C8" s="40" t="s">
        <v>221</v>
      </c>
      <c r="D8" s="21" t="s">
        <v>199</v>
      </c>
      <c r="E8" s="21" t="s">
        <v>348</v>
      </c>
      <c r="F8" s="21" t="s">
        <v>349</v>
      </c>
      <c r="G8" s="21" t="s">
        <v>209</v>
      </c>
      <c r="H8" s="21" t="s">
        <v>193</v>
      </c>
    </row>
    <row r="9">
      <c r="A9" s="22">
        <v>8.0</v>
      </c>
      <c r="B9" s="22" t="s">
        <v>350</v>
      </c>
      <c r="C9" s="40" t="s">
        <v>221</v>
      </c>
      <c r="D9" s="22" t="s">
        <v>221</v>
      </c>
      <c r="E9" s="22" t="s">
        <v>351</v>
      </c>
      <c r="F9" s="22" t="s">
        <v>352</v>
      </c>
      <c r="G9" s="22" t="s">
        <v>209</v>
      </c>
      <c r="H9" s="22" t="s">
        <v>193</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pageSetUpPr/>
  </sheetPr>
  <sheetViews>
    <sheetView workbookViewId="0"/>
  </sheetViews>
  <sheetFormatPr customHeight="1" defaultColWidth="14.43" defaultRowHeight="15.75"/>
  <cols>
    <col customWidth="1" min="1" max="1" width="5.0"/>
    <col customWidth="1" min="2" max="2" width="80.0"/>
    <col customWidth="1" min="3" max="26" width="8.71"/>
  </cols>
  <sheetData>
    <row r="1">
      <c r="A1" s="23" t="s">
        <v>227</v>
      </c>
    </row>
    <row r="2">
      <c r="A2" s="24">
        <v>1.0</v>
      </c>
      <c r="B2" s="24" t="s">
        <v>353</v>
      </c>
      <c r="C2" s="24"/>
    </row>
    <row r="3">
      <c r="A3" s="24">
        <v>2.0</v>
      </c>
      <c r="B3" s="24" t="s">
        <v>354</v>
      </c>
      <c r="C3" s="24"/>
    </row>
    <row r="4">
      <c r="A4" s="24">
        <v>3.0</v>
      </c>
      <c r="B4" s="24" t="s">
        <v>355</v>
      </c>
      <c r="C4" s="24"/>
    </row>
    <row r="5">
      <c r="A5" s="24">
        <v>4.0</v>
      </c>
      <c r="B5" s="24" t="s">
        <v>356</v>
      </c>
      <c r="C5" s="24"/>
    </row>
    <row r="6">
      <c r="A6" s="24">
        <v>5.0</v>
      </c>
      <c r="B6" s="24" t="s">
        <v>232</v>
      </c>
      <c r="C6" s="24"/>
    </row>
    <row r="7">
      <c r="A7" s="24">
        <v>6.0</v>
      </c>
      <c r="B7" s="24" t="s">
        <v>357</v>
      </c>
      <c r="C7" s="24"/>
    </row>
    <row r="8">
      <c r="A8" s="24">
        <v>7.0</v>
      </c>
      <c r="B8" s="24" t="s">
        <v>358</v>
      </c>
      <c r="C8" s="24"/>
    </row>
    <row r="9">
      <c r="A9" s="24">
        <v>8.0</v>
      </c>
      <c r="B9" s="24" t="s">
        <v>359</v>
      </c>
      <c r="C9" s="24"/>
    </row>
    <row r="10">
      <c r="A10" s="24">
        <v>9.0</v>
      </c>
      <c r="B10" s="24" t="s">
        <v>360</v>
      </c>
      <c r="C10" s="24"/>
    </row>
    <row r="11">
      <c r="A11" s="24">
        <v>10.0</v>
      </c>
      <c r="B11" s="24" t="s">
        <v>361</v>
      </c>
      <c r="C11" s="24"/>
    </row>
    <row r="12">
      <c r="A12" s="24">
        <v>11.0</v>
      </c>
      <c r="B12" s="24" t="s">
        <v>362</v>
      </c>
      <c r="C12" s="24"/>
    </row>
    <row r="13">
      <c r="A13" s="24">
        <v>12.0</v>
      </c>
      <c r="B13" s="24" t="s">
        <v>363</v>
      </c>
      <c r="C13" s="24"/>
    </row>
    <row r="14">
      <c r="A14" s="24">
        <v>13.0</v>
      </c>
      <c r="B14" s="24" t="s">
        <v>364</v>
      </c>
      <c r="C14" s="24"/>
    </row>
    <row r="15">
      <c r="A15" s="24">
        <v>14.0</v>
      </c>
      <c r="B15" s="24" t="s">
        <v>365</v>
      </c>
      <c r="C15" s="24"/>
    </row>
    <row r="16">
      <c r="A16" s="24">
        <v>15.0</v>
      </c>
      <c r="B16" s="24" t="s">
        <v>366</v>
      </c>
      <c r="C16" s="24"/>
    </row>
    <row r="17">
      <c r="A17" s="24"/>
      <c r="B17" s="24"/>
      <c r="C17" s="24"/>
    </row>
    <row r="18">
      <c r="A18" s="24" t="s">
        <v>246</v>
      </c>
      <c r="B18" s="24"/>
      <c r="C18" s="24"/>
    </row>
    <row r="19">
      <c r="A19" s="24">
        <v>1.0</v>
      </c>
      <c r="B19" s="24" t="s">
        <v>367</v>
      </c>
      <c r="C19" s="24"/>
    </row>
    <row r="20">
      <c r="A20" s="24">
        <v>2.0</v>
      </c>
      <c r="B20" s="24" t="s">
        <v>368</v>
      </c>
      <c r="C20" s="24"/>
    </row>
    <row r="21">
      <c r="A21" s="24">
        <v>3.0</v>
      </c>
      <c r="B21" s="24" t="s">
        <v>369</v>
      </c>
      <c r="C21" s="24"/>
    </row>
    <row r="22">
      <c r="A22" s="24">
        <v>4.0</v>
      </c>
      <c r="B22" s="24" t="s">
        <v>370</v>
      </c>
      <c r="C22" s="24"/>
    </row>
    <row r="23">
      <c r="A23" s="24">
        <v>5.0</v>
      </c>
      <c r="B23" s="24" t="s">
        <v>371</v>
      </c>
      <c r="C23" s="24"/>
    </row>
    <row r="24">
      <c r="A24" s="24">
        <v>6.0</v>
      </c>
      <c r="B24" s="24" t="s">
        <v>372</v>
      </c>
      <c r="C24" s="24"/>
    </row>
    <row r="25">
      <c r="A25" s="24">
        <v>7.0</v>
      </c>
      <c r="B25" s="24" t="s">
        <v>373</v>
      </c>
      <c r="C25" s="24"/>
    </row>
    <row r="26">
      <c r="A26" s="24">
        <v>8.0</v>
      </c>
      <c r="B26" s="24" t="s">
        <v>374</v>
      </c>
      <c r="C26" s="24"/>
    </row>
    <row r="27">
      <c r="A27" s="24">
        <v>9.0</v>
      </c>
      <c r="B27" s="24" t="s">
        <v>375</v>
      </c>
      <c r="C27" s="24"/>
    </row>
    <row r="28">
      <c r="A28" s="24">
        <v>10.0</v>
      </c>
      <c r="B28" s="24" t="s">
        <v>376</v>
      </c>
      <c r="C28" s="24"/>
    </row>
    <row r="29">
      <c r="A29" s="24">
        <v>11.0</v>
      </c>
      <c r="B29" s="24" t="s">
        <v>377</v>
      </c>
      <c r="C29" s="24"/>
    </row>
    <row r="30">
      <c r="A30" s="24"/>
      <c r="B30" s="24"/>
      <c r="C30" s="24"/>
    </row>
    <row r="31">
      <c r="A31" s="24" t="s">
        <v>258</v>
      </c>
      <c r="B31" s="24"/>
      <c r="C31" s="24"/>
    </row>
    <row r="32">
      <c r="A32" s="24">
        <v>1.0</v>
      </c>
      <c r="B32" s="24" t="s">
        <v>378</v>
      </c>
      <c r="C32" s="24"/>
    </row>
    <row r="33">
      <c r="A33" s="24">
        <v>2.0</v>
      </c>
      <c r="B33" s="24" t="s">
        <v>379</v>
      </c>
      <c r="C33" s="24"/>
    </row>
    <row r="34">
      <c r="A34" s="24">
        <v>3.0</v>
      </c>
      <c r="B34" s="24" t="s">
        <v>380</v>
      </c>
      <c r="C34" s="24"/>
    </row>
    <row r="35">
      <c r="A35" s="24">
        <v>4.0</v>
      </c>
      <c r="B35" s="24" t="s">
        <v>381</v>
      </c>
      <c r="C35" s="24"/>
    </row>
    <row r="36">
      <c r="A36" s="24">
        <v>5.0</v>
      </c>
      <c r="B36" s="24" t="s">
        <v>382</v>
      </c>
      <c r="C36" s="24"/>
    </row>
    <row r="37">
      <c r="A37" s="24">
        <v>6.0</v>
      </c>
      <c r="B37" s="24" t="s">
        <v>383</v>
      </c>
      <c r="C37" s="24"/>
    </row>
    <row r="38">
      <c r="A38" s="24">
        <v>7.0</v>
      </c>
      <c r="B38" s="24" t="s">
        <v>384</v>
      </c>
      <c r="C38" s="24"/>
    </row>
    <row r="39">
      <c r="A39" s="24">
        <v>8.0</v>
      </c>
      <c r="B39" s="24" t="s">
        <v>385</v>
      </c>
      <c r="C39" s="24"/>
    </row>
    <row r="40">
      <c r="A40" s="24">
        <v>9.0</v>
      </c>
      <c r="B40" s="24" t="s">
        <v>386</v>
      </c>
      <c r="C40" s="24"/>
    </row>
    <row r="41">
      <c r="A41" s="24"/>
      <c r="B41" s="24"/>
      <c r="C41" s="24"/>
    </row>
    <row r="42">
      <c r="A42" s="24" t="s">
        <v>271</v>
      </c>
      <c r="B42" s="24"/>
      <c r="C42" s="24"/>
    </row>
    <row r="43">
      <c r="A43" s="24">
        <v>1.0</v>
      </c>
      <c r="B43" s="24" t="s">
        <v>387</v>
      </c>
      <c r="C43" s="24"/>
    </row>
    <row r="44">
      <c r="A44" s="24">
        <v>2.0</v>
      </c>
      <c r="B44" s="24" t="s">
        <v>388</v>
      </c>
      <c r="C44" s="24"/>
    </row>
    <row r="45">
      <c r="A45" s="24">
        <v>3.0</v>
      </c>
      <c r="B45" s="24" t="s">
        <v>389</v>
      </c>
      <c r="C45" s="24"/>
    </row>
    <row r="46">
      <c r="A46" s="24">
        <v>4.0</v>
      </c>
      <c r="B46" s="24" t="s">
        <v>390</v>
      </c>
      <c r="C46" s="24"/>
    </row>
    <row r="47">
      <c r="A47" s="24">
        <v>5.0</v>
      </c>
      <c r="B47" s="24" t="s">
        <v>277</v>
      </c>
      <c r="C47" s="24"/>
    </row>
    <row r="48">
      <c r="A48" s="24">
        <v>6.0</v>
      </c>
      <c r="B48" s="24" t="s">
        <v>391</v>
      </c>
      <c r="C48" s="24"/>
    </row>
    <row r="49">
      <c r="A49" s="24">
        <v>7.0</v>
      </c>
      <c r="B49" s="24" t="s">
        <v>392</v>
      </c>
      <c r="C49" s="24"/>
    </row>
    <row r="50">
      <c r="A50" s="24">
        <v>8.0</v>
      </c>
      <c r="B50" s="24" t="s">
        <v>393</v>
      </c>
      <c r="C50" s="24"/>
    </row>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orientation="landscape"/>
  <drawing r:id="rId1"/>
</worksheet>
</file>