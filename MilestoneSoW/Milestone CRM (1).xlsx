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roach Comparison" sheetId="1" r:id="rId5"/>
    <sheet state="visible" name="Scoping Estimate" sheetId="2" r:id="rId6"/>
    <sheet state="visible" name="Risk Register" sheetId="3" r:id="rId7"/>
    <sheet state="visible" name="Assumptions &amp; Exclusions" sheetId="4" r:id="rId8"/>
  </sheets>
  <definedNames>
    <definedName hidden="1" localSheetId="2" name="_xlnm._FilterDatabase">'Risk Register'!$A$1:$H$9</definedName>
  </definedNames>
  <calcPr/>
</workbook>
</file>

<file path=xl/sharedStrings.xml><?xml version="1.0" encoding="utf-8"?>
<sst xmlns="http://schemas.openxmlformats.org/spreadsheetml/2006/main" count="195" uniqueCount="170">
  <si>
    <t>Implementation Approach Comparison: Milestone CRM</t>
  </si>
  <si>
    <t>Dimension</t>
  </si>
  <si>
    <t>Approach A: Concurrent</t>
  </si>
  <si>
    <t>Approach B: Phased (Recommended)</t>
  </si>
  <si>
    <t>Description</t>
  </si>
  <si>
    <t>All workstreams executed simultaneously -- contacts, deals, integrations, training delivered in single go-live</t>
  </si>
  <si>
    <t>Phase 1: Contacts + Activity Capture (weeks 1-4)
Phase 2: Deal Pipeline (weeks 5-6)
Phase 3: Integrations + Advanced (weeks 7-8+)</t>
  </si>
  <si>
    <t>Total Hours (Median)</t>
  </si>
  <si>
    <t>~145 hrs (same scope, compressed timeline)</t>
  </si>
  <si>
    <t>~145 hrs (same scope, spread across phases)</t>
  </si>
  <si>
    <t>Timeline</t>
  </si>
  <si>
    <t>4-5 weeks</t>
  </si>
  <si>
    <t>6-8 weeks</t>
  </si>
  <si>
    <t>Risk Level</t>
  </si>
  <si>
    <t>HIGH -- single cutover, all-or-nothing adoption</t>
  </si>
  <si>
    <t>LOW -- incremental adoption, learnings carry forward</t>
  </si>
  <si>
    <t>Adoption Impact</t>
  </si>
  <si>
    <t>Users must learn everything at once; high cognitive load for less tech-savvy team members</t>
  </si>
  <si>
    <t>Users master basics first; deal pipeline added only after comfort with contacts/activity</t>
  </si>
  <si>
    <t>Change Management</t>
  </si>
  <si>
    <t>Requires intensive upfront training; higher resistance risk</t>
  </si>
  <si>
    <t>Gradual onboarding; each phase builds on prior comfort; aligns with client's stated preference</t>
  </si>
  <si>
    <t>Dependency Risk</t>
  </si>
  <si>
    <t>Integration issues can block entire go-live</t>
  </si>
  <si>
    <t>Integrations isolated to Phase 3; core CRM usable regardless</t>
  </si>
  <si>
    <t>Client Resource Demand</t>
  </si>
  <si>
    <t>Heavy -- all stakeholders needed simultaneously for discovery, UAT, training</t>
  </si>
  <si>
    <t>Moderate -- stakeholder time spread across phases; easier to schedule across 4 offices</t>
  </si>
  <si>
    <t>Cost</t>
  </si>
  <si>
    <t>Same total cost; front-loaded cash outlay</t>
  </si>
  <si>
    <t>Same total cost; spread across phases with natural checkpoints</t>
  </si>
  <si>
    <t>RECOMMENDATION</t>
  </si>
  <si>
    <t>Phased approach (Approach B) is strongly recommended for Milestone. The client has explicitly stated preference for starting simple and expanding. Team members range from 25 to 65 years old with varying tech comfort -- a phased rollout allows the less technical users to build confidence with basic contact management before adding deal pipeline complexity. The previous DealCloud abandonment after 2 months underscores the adoption risk of an all-at-once approach. Phase 1 (contacts + activity capture) delivers immediate value with minimal behavior change, while Phase 2 (deals) and Phase 3 (integrations) build on established habits.</t>
  </si>
  <si>
    <t>Hourly Rate:</t>
  </si>
  <si>
    <t>Workstream</t>
  </si>
  <si>
    <t>Min Hours</t>
  </si>
  <si>
    <t>Max Hours</t>
  </si>
  <si>
    <t>Median Hours</t>
  </si>
  <si>
    <t>Rate</t>
  </si>
  <si>
    <t>Min Cost</t>
  </si>
  <si>
    <t>Max Cost</t>
  </si>
  <si>
    <t>Median Cost</t>
  </si>
  <si>
    <t>Notes / Assumptions</t>
  </si>
  <si>
    <t>CRM Architecture &amp; Setup</t>
  </si>
  <si>
    <t>HubSpot portal configuration, user roles/permissions for 4 offices, team structure, branding</t>
  </si>
  <si>
    <t>Assumes HubSpot Sales Hub Starter or Smart CRM tier; up to 10 user seats</t>
  </si>
  <si>
    <t>Contact &amp; Company Management</t>
  </si>
  <si>
    <t>Custom properties (up to 30), lifecycle stages, association labels, parent/child company structures, persona definitions (broker, evangelist, investment partner, lender), dedup strategy</t>
  </si>
  <si>
    <t>Parent-child associations for PE firm to portfolio companies; persona tagging; assumes up to 30 custom properties</t>
  </si>
  <si>
    <t>Pipeline &amp; Deal Management</t>
  </si>
  <si>
    <t>Deal pipeline stages, required fields per stage, qualification criteria, stage gate enforcement</t>
  </si>
  <si>
    <t>Phase 2 deliverable; stages TBD in scoping call; assumes 1 pipeline with 4-6 stages</t>
  </si>
  <si>
    <t>Automations &amp; Workflows</t>
  </si>
  <si>
    <t>Activity capture automation, task reminder triggers, follow-up workflows, contact creation rules</t>
  </si>
  <si>
    <t>Includes email domain exclusions, auto-contact creation rules, follow-up task automation; up to 8 workflows</t>
  </si>
  <si>
    <t>Email &amp; Communication Setup</t>
  </si>
  <si>
    <t>Google Workspace integration (Gmail + Calendar), email tracking settings, connected inbox configuration per user</t>
  </si>
  <si>
    <t>Assumes Google Workspace; per-user inbox connection; email tracking opt-in configuration</t>
  </si>
  <si>
    <t>Reporting &amp; Dashboards</t>
  </si>
  <si>
    <t>Activity reports (calls, meetings, emails), contact engagement metrics, deal pipeline visibility, executive dashboard</t>
  </si>
  <si>
    <t>Assumes 2-3 dashboards: BD activity, contact overview, deal pipeline; up to 10 custom reports</t>
  </si>
  <si>
    <t>Integration: Fireflies</t>
  </si>
  <si>
    <t>Configure Fireflies-to-HubSpot integration for automated meeting transcription and CRM logging</t>
  </si>
  <si>
    <t>Native integration; includes transcript mapping, contact matching, activity logging rules</t>
  </si>
  <si>
    <t>Integration: Google Workspace</t>
  </si>
  <si>
    <t>Calendar sync, email sync, contact sync configuration across all users</t>
  </si>
  <si>
    <t>Included in email setup but scoped separately for calendar and contact sync automation</t>
  </si>
  <si>
    <t>Data Migration: Contact Import</t>
  </si>
  <si>
    <t>Audit existing contacts from Excel, OneNote, and email exports; cleanse, deduplicate, map fields, test load, validate, cutover</t>
  </si>
  <si>
    <t>Assumes 2,000-5,000 contacts across 3-4 sources; moderate dedup effort; 1 test load before final import</t>
  </si>
  <si>
    <t>Training: Admin</t>
  </si>
  <si>
    <t>System administration training for 1-2 power users covering settings, properties, workflows, reporting</t>
  </si>
  <si>
    <t>1-2 sessions, 1-2 admins; includes documentation walkthrough</t>
  </si>
  <si>
    <t>Training: End Users</t>
  </si>
  <si>
    <t>End-user training across 4 offices covering daily CRM usage, mobile app, activity logging, task management</t>
  </si>
  <si>
    <t>2-3 sessions for varying tech comfort levels (ages 25-65); includes mobile app setup</t>
  </si>
  <si>
    <t>UAT &amp; Go-Live</t>
  </si>
  <si>
    <t>User acceptance testing, test scripts, bug fixes, go-live cutover plan, 2-week hypercare support</t>
  </si>
  <si>
    <t>Includes test script creation, 2 UAT sessions, bug fix window, go-live checklist, 2 weeks post-launch support</t>
  </si>
  <si>
    <t>Documentation &amp; SOPs</t>
  </si>
  <si>
    <t>Process documentation, user guides, mobile setup guide, admin reference guide</t>
  </si>
  <si>
    <t>Deliverables: 1 admin guide, 1 end-user guide, 1 mobile quick-start guide</t>
  </si>
  <si>
    <t>Project Management</t>
  </si>
  <si>
    <t>Kickoff, weekly status calls, project plan, change management, stakeholder communication</t>
  </si>
  <si>
    <t>~12-15% of total project hours; assumes 6-8 week timeline; weekly 30-min syncs</t>
  </si>
  <si>
    <t>TOTAL</t>
  </si>
  <si>
    <t>#</t>
  </si>
  <si>
    <t>Risk</t>
  </si>
  <si>
    <t>Severity</t>
  </si>
  <si>
    <t>Likelihood</t>
  </si>
  <si>
    <t>Impact</t>
  </si>
  <si>
    <t>Mitigation</t>
  </si>
  <si>
    <t>Owner</t>
  </si>
  <si>
    <t>Status</t>
  </si>
  <si>
    <t>Data Quality Risk</t>
  </si>
  <si>
    <t>MEDIUM</t>
  </si>
  <si>
    <t>HIGH</t>
  </si>
  <si>
    <t>Contacts scattered across Excel, OneNote, and individual email accounts may contain duplicates, inconsistent formatting, and missing fields, increasing migration effort</t>
  </si>
  <si>
    <t>Conduct data audit before import; deduplicate in staging area; do small test loads before full migration; set up HubSpot duplicate detection rules</t>
  </si>
  <si>
    <t>Consultant + Client</t>
  </si>
  <si>
    <t>Open</t>
  </si>
  <si>
    <t>Adoption Risk</t>
  </si>
  <si>
    <t>Team members with varying tech comfort (ages 25-65) may resist CRM adoption, reverting to Excel/OneNote habits and degrading data quality</t>
  </si>
  <si>
    <t>Start with minimal required fields; automate as much capture as possible; provide role-specific training; leadership must champion usage; consider gamification or accountability reviews</t>
  </si>
  <si>
    <t>Client (leadership)</t>
  </si>
  <si>
    <t>Scope Creep</t>
  </si>
  <si>
    <t>Client may request deal pipeline, Asana integration, or advanced reporting before Phase 1 is stable, diluting focus and extending timeline</t>
  </si>
  <si>
    <t>Enforce phased approach; document Phase 2/3 features explicitly as out of scope for initial implementation; use change order process for additions</t>
  </si>
  <si>
    <t>Consultant</t>
  </si>
  <si>
    <t>Stakeholder Availability</t>
  </si>
  <si>
    <t>Key decision-makers (Jason, Robert, Jim, Chris) are distributed across 4 offices with active deal flow, making scheduling discovery and UAT sessions difficult</t>
  </si>
  <si>
    <t>Schedule recurring weekly check-ins; use async communication for approvals; identify one primary point of contact for decisions</t>
  </si>
  <si>
    <t>Client</t>
  </si>
  <si>
    <t>Data Migration Volume</t>
  </si>
  <si>
    <t>Contact volume described as 'thousands' without exact count; actual volume and data quality could significantly increase migration hours</t>
  </si>
  <si>
    <t>Request full contact export early; assess volume and quality before finalizing migration estimate; cap initial import scope if needed</t>
  </si>
  <si>
    <t>Integration Complexity: Fireflies</t>
  </si>
  <si>
    <t>LOW</t>
  </si>
  <si>
    <t>Fireflies integration may have limitations on transcript format, contact matching accuracy, or API rate limits</t>
  </si>
  <si>
    <t>Test integration with sample meetings before go-live; validate contact matching logic; document known limitations</t>
  </si>
  <si>
    <t>Licensing Cost Uncertainty</t>
  </si>
  <si>
    <t>HubSpot tier selection may need adjustment after discovery; features assumed in starter tier may require upgrade</t>
  </si>
  <si>
    <t>Validate feature requirements against HubSpot tier matrix before licensing purchase; negotiate during HubSpot sales quarter for best pricing</t>
  </si>
  <si>
    <t>Timeline Risk</t>
  </si>
  <si>
    <t>Phased approach reduces this risk, but dependencies between contact migration and automation setup could create bottlenecks</t>
  </si>
  <si>
    <t>Sequence data migration before automation configuration; maintain buffer between phases; avoid parallel workstreams with dependencies</t>
  </si>
  <si>
    <t>SCOPE ASSUMPTIONS</t>
  </si>
  <si>
    <t>HubSpot Sales Hub Starter or Smart CRM tier (final tier TBD after scoping call)</t>
  </si>
  <si>
    <t>Up to 10 licensed CRM users across 4 offices</t>
  </si>
  <si>
    <t>Google Workspace (Gmail + Google Calendar) as primary email/calendar platform</t>
  </si>
  <si>
    <t>Up to 30 custom contact/company properties</t>
  </si>
  <si>
    <t>1 deal pipeline with 4-6 stages (Phase 2)</t>
  </si>
  <si>
    <t>Up to 8 automated workflows</t>
  </si>
  <si>
    <t>2-3 reporting dashboards with up to 10 custom reports</t>
  </si>
  <si>
    <t>2,000-5,000 contacts to migrate from 3-4 sources</t>
  </si>
  <si>
    <t>1 test data load before final migration</t>
  </si>
  <si>
    <t>Fireflies.ai as transcription tool (existing subscription)</t>
  </si>
  <si>
    <t>6-8 week implementation timeline</t>
  </si>
  <si>
    <t>Phased rollout: contacts/activity first, deals second, integrations third</t>
  </si>
  <si>
    <t>OUT OF SCOPE</t>
  </si>
  <si>
    <t>Salesforce, Zoho, or any CRM other than HubSpot</t>
  </si>
  <si>
    <t>ERP or accounting system integration</t>
  </si>
  <si>
    <t>Asana integration (recommended for Phase 3)</t>
  </si>
  <si>
    <t>Advanced deal flow management beyond basic pipeline (e.g., deal scoring, weighted pipeline)</t>
  </si>
  <si>
    <t>Custom API development or middleware (n8n/Zapier)</t>
  </si>
  <si>
    <t>Marketing automation (email campaigns, sequences, landing pages)</t>
  </si>
  <si>
    <t>DocuSign or e-signature integration</t>
  </si>
  <si>
    <t>HubSpot Service Hub or Operations Hub features</t>
  </si>
  <si>
    <t>Ongoing managed services beyond 2-week hypercare</t>
  </si>
  <si>
    <t>Hardware procurement or IT infrastructure changes</t>
  </si>
  <si>
    <t>CLIENT RESPONSIBILITIES</t>
  </si>
  <si>
    <t>Provide complete contact exports from Excel, OneNote, and email by week 2</t>
  </si>
  <si>
    <t>Designate 1 primary point of contact for decisions and approvals</t>
  </si>
  <si>
    <t>Ensure stakeholder availability for discovery, UAT, and training sessions</t>
  </si>
  <si>
    <t>Procure HubSpot licenses before implementation begins</t>
  </si>
  <si>
    <t>Procure or confirm Fireflies.ai subscription with API access</t>
  </si>
  <si>
    <t>Provide Google Workspace admin access for email/calendar integration setup</t>
  </si>
  <si>
    <t>Champion CRM adoption internally -- leadership must set expectations for usage</t>
  </si>
  <si>
    <t>Complete UAT testing within agreed timeline</t>
  </si>
  <si>
    <t>Communicate deal stages and qualification criteria during scoping call</t>
  </si>
  <si>
    <t>OPEN ITEMS</t>
  </si>
  <si>
    <t>Exact number of CRM users and seat requirements</t>
  </si>
  <si>
    <t>Confirm Google Workspace vs Microsoft 365 (transcripts suggest Google)</t>
  </si>
  <si>
    <t>Exact contact volume across all sources</t>
  </si>
  <si>
    <t>Deal pipeline stages and qualification criteria (needs scoping call)</t>
  </si>
  <si>
    <t>HubSpot tier selection and licensing cost</t>
  </si>
  <si>
    <t>Budget range or ceiling for implementation services</t>
  </si>
  <si>
    <t>Whether Asana integration is desired for Phase 1 or deferred</t>
  </si>
  <si>
    <t>Fireflies plan tier and API access availability</t>
  </si>
  <si>
    <t>Mobile device types and OS versions for app setup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</si>
</sst>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8">
    <font>
      <sz val="10.0"/>
      <color rgb="FF000000"/>
      <name val="Calibri"/>
      <scheme val="minor"/>
    </font>
    <font>
      <b/>
      <sz val="14.0"/>
      <color theme="1"/>
      <name val="Arial"/>
    </font>
    <font>
      <b/>
      <sz val="11.0"/>
      <color rgb="FFFFFFFF"/>
      <name val="Arial"/>
    </font>
    <font>
      <sz val="10.0"/>
      <color theme="1"/>
      <name val="Arial"/>
    </font>
    <font/>
    <font>
      <b/>
      <sz val="10.0"/>
      <color theme="1"/>
      <name val="Arial"/>
    </font>
    <font>
      <sz val="11.0"/>
      <color theme="1"/>
      <name val="Calibri"/>
    </font>
    <font>
      <sz val="10.0"/>
      <color rgb="FFFFFFFF"/>
      <name val="Arial"/>
    </font>
  </fonts>
  <fills count="11">
    <fill>
      <patternFill patternType="none"/>
    </fill>
    <fill>
      <patternFill patternType="lightGray"/>
    </fill>
    <fill>
      <patternFill patternType="solid">
        <fgColor rgb="FF1F4E79"/>
        <bgColor rgb="FF1F4E79"/>
      </patternFill>
    </fill>
    <fill>
      <patternFill patternType="solid">
        <fgColor rgb="FFF2F2F2"/>
        <bgColor rgb="FFF2F2F2"/>
      </patternFill>
    </fill>
    <fill>
      <patternFill patternType="solid">
        <fgColor rgb="FFC6EFCE"/>
        <bgColor rgb="FFC6EFCE"/>
      </patternFill>
    </fill>
    <fill>
      <patternFill patternType="solid">
        <fgColor rgb="FFFFC7CE"/>
        <bgColor rgb="FFFFC7CE"/>
      </patternFill>
    </fill>
    <fill>
      <patternFill patternType="solid">
        <fgColor rgb="FF4472C4"/>
        <bgColor rgb="FF4472C4"/>
      </patternFill>
    </fill>
    <fill>
      <patternFill patternType="solid">
        <fgColor rgb="FFDCE6F1"/>
        <bgColor rgb="FFDCE6F1"/>
      </patternFill>
    </fill>
    <fill>
      <patternFill patternType="solid">
        <fgColor rgb="FFFFD700"/>
        <bgColor rgb="FFFFD700"/>
      </patternFill>
    </fill>
    <fill>
      <patternFill patternType="solid">
        <fgColor rgb="FFFF0000"/>
        <bgColor rgb="FFFF0000"/>
      </patternFill>
    </fill>
    <fill>
      <patternFill patternType="solid">
        <fgColor rgb="FF00B050"/>
        <bgColor rgb="FF00B05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1" fillId="0" fontId="3" numFmtId="0" xfId="0" applyAlignment="1" applyBorder="1" applyFont="1">
      <alignment shrinkToFit="0" vertical="center" wrapText="1"/>
    </xf>
    <xf borderId="1" fillId="0" fontId="3" numFmtId="0" xfId="0" applyAlignment="1" applyBorder="1" applyFont="1">
      <alignment shrinkToFit="0" vertical="top" wrapText="1"/>
    </xf>
    <xf borderId="1" fillId="3" fontId="3" numFmtId="0" xfId="0" applyAlignment="1" applyBorder="1" applyFill="1" applyFont="1">
      <alignment shrinkToFit="0" vertical="center" wrapText="1"/>
    </xf>
    <xf borderId="1" fillId="3" fontId="3" numFmtId="0" xfId="0" applyAlignment="1" applyBorder="1" applyFont="1">
      <alignment shrinkToFit="0" vertical="top" wrapText="1"/>
    </xf>
    <xf borderId="1" fillId="4" fontId="3" numFmtId="0" xfId="0" applyAlignment="1" applyBorder="1" applyFill="1" applyFont="1">
      <alignment shrinkToFit="0" vertical="top" wrapText="1"/>
    </xf>
    <xf borderId="1" fillId="5" fontId="3" numFmtId="0" xfId="0" applyAlignment="1" applyBorder="1" applyFill="1" applyFont="1">
      <alignment shrinkToFit="0" vertical="top" wrapText="1"/>
    </xf>
    <xf borderId="2" fillId="6" fontId="2" numFmtId="0" xfId="0" applyBorder="1" applyFill="1" applyFont="1"/>
    <xf borderId="3" fillId="0" fontId="4" numFmtId="0" xfId="0" applyBorder="1" applyFont="1"/>
    <xf borderId="4" fillId="0" fontId="4" numFmtId="0" xfId="0" applyBorder="1" applyFont="1"/>
    <xf borderId="2" fillId="0" fontId="3" numFmtId="0" xfId="0" applyAlignment="1" applyBorder="1" applyFont="1">
      <alignment shrinkToFit="0" vertical="top" wrapText="1"/>
    </xf>
    <xf borderId="0" fillId="0" fontId="5" numFmtId="0" xfId="0" applyFont="1"/>
    <xf borderId="1" fillId="7" fontId="5" numFmtId="164" xfId="0" applyBorder="1" applyFill="1" applyFont="1" applyNumberFormat="1"/>
    <xf borderId="1" fillId="0" fontId="3" numFmtId="164" xfId="0" applyAlignment="1" applyBorder="1" applyFont="1" applyNumberFormat="1">
      <alignment shrinkToFit="0" vertical="center" wrapText="1"/>
    </xf>
    <xf borderId="1" fillId="3" fontId="3" numFmtId="164" xfId="0" applyAlignment="1" applyBorder="1" applyFont="1" applyNumberFormat="1">
      <alignment shrinkToFit="0" vertical="center" wrapText="1"/>
    </xf>
    <xf borderId="1" fillId="0" fontId="3" numFmtId="0" xfId="0" applyAlignment="1" applyBorder="1" applyFont="1">
      <alignment readingOrder="0" shrinkToFit="0" vertical="center" wrapText="1"/>
    </xf>
    <xf borderId="1" fillId="3" fontId="3" numFmtId="0" xfId="0" applyAlignment="1" applyBorder="1" applyFont="1">
      <alignment readingOrder="0" shrinkToFit="0" vertical="center" wrapText="1"/>
    </xf>
    <xf borderId="1" fillId="0" fontId="5" numFmtId="0" xfId="0" applyBorder="1" applyFont="1"/>
    <xf borderId="1" fillId="0" fontId="6" numFmtId="0" xfId="0" applyBorder="1" applyFont="1"/>
    <xf borderId="1" fillId="0" fontId="5" numFmtId="164" xfId="0" applyBorder="1" applyFont="1" applyNumberFormat="1"/>
    <xf borderId="1" fillId="8" fontId="3" numFmtId="0" xfId="0" applyAlignment="1" applyBorder="1" applyFill="1" applyFont="1">
      <alignment shrinkToFit="0" vertical="center" wrapText="1"/>
    </xf>
    <xf borderId="1" fillId="9" fontId="7" numFmtId="0" xfId="0" applyAlignment="1" applyBorder="1" applyFill="1" applyFont="1">
      <alignment shrinkToFit="0" vertical="center" wrapText="1"/>
    </xf>
    <xf borderId="1" fillId="10" fontId="7" numFmtId="0" xfId="0" applyAlignment="1" applyBorder="1" applyFill="1" applyFont="1">
      <alignment shrinkToFit="0" vertical="center" wrapText="1"/>
    </xf>
    <xf borderId="2" fillId="6" fontId="2" numFmtId="0" xfId="0" applyAlignment="1" applyBorder="1" applyFont="1">
      <alignment horizontal="left" vertical="center"/>
    </xf>
    <xf borderId="1" fillId="0" fontId="3" numFmtId="0" xfId="0" applyAlignment="1" applyBorder="1" applyFont="1">
      <alignment horizontal="center"/>
    </xf>
    <xf borderId="2" fillId="0" fontId="3" numFmtId="0" xfId="0" applyAlignment="1" applyBorder="1" applyFont="1">
      <alignment shrinkToFit="0" wrapText="1"/>
    </xf>
    <xf borderId="1" fillId="3" fontId="3" numFmtId="0" xfId="0" applyAlignment="1" applyBorder="1" applyFont="1">
      <alignment horizontal="center"/>
    </xf>
    <xf borderId="2" fillId="3" fontId="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75"/>
  <cols>
    <col customWidth="1" min="1" max="1" width="25.0"/>
    <col customWidth="1" min="2" max="3" width="50.0"/>
    <col customWidth="1" min="4" max="26" width="8.71"/>
  </cols>
  <sheetData>
    <row r="1">
      <c r="A1" s="1" t="s">
        <v>0</v>
      </c>
    </row>
    <row r="3">
      <c r="A3" s="2" t="s">
        <v>1</v>
      </c>
      <c r="B3" s="2" t="s">
        <v>2</v>
      </c>
      <c r="C3" s="2" t="s">
        <v>3</v>
      </c>
    </row>
    <row r="4">
      <c r="A4" s="3" t="s">
        <v>4</v>
      </c>
      <c r="B4" s="4" t="s">
        <v>5</v>
      </c>
      <c r="C4" s="4" t="s">
        <v>6</v>
      </c>
    </row>
    <row r="5">
      <c r="A5" s="5" t="s">
        <v>7</v>
      </c>
      <c r="B5" s="6" t="s">
        <v>8</v>
      </c>
      <c r="C5" s="6" t="s">
        <v>9</v>
      </c>
    </row>
    <row r="6">
      <c r="A6" s="3" t="s">
        <v>10</v>
      </c>
      <c r="B6" s="7" t="s">
        <v>11</v>
      </c>
      <c r="C6" s="8" t="s">
        <v>12</v>
      </c>
    </row>
    <row r="7">
      <c r="A7" s="5" t="s">
        <v>13</v>
      </c>
      <c r="B7" s="8" t="s">
        <v>14</v>
      </c>
      <c r="C7" s="7" t="s">
        <v>15</v>
      </c>
    </row>
    <row r="8">
      <c r="A8" s="3" t="s">
        <v>16</v>
      </c>
      <c r="B8" s="8" t="s">
        <v>17</v>
      </c>
      <c r="C8" s="7" t="s">
        <v>18</v>
      </c>
    </row>
    <row r="9">
      <c r="A9" s="5" t="s">
        <v>19</v>
      </c>
      <c r="B9" s="8" t="s">
        <v>20</v>
      </c>
      <c r="C9" s="7" t="s">
        <v>21</v>
      </c>
    </row>
    <row r="10">
      <c r="A10" s="3" t="s">
        <v>22</v>
      </c>
      <c r="B10" s="8" t="s">
        <v>23</v>
      </c>
      <c r="C10" s="7" t="s">
        <v>24</v>
      </c>
    </row>
    <row r="11">
      <c r="A11" s="5" t="s">
        <v>25</v>
      </c>
      <c r="B11" s="6" t="s">
        <v>26</v>
      </c>
      <c r="C11" s="6" t="s">
        <v>27</v>
      </c>
    </row>
    <row r="12">
      <c r="A12" s="3" t="s">
        <v>28</v>
      </c>
      <c r="B12" s="4" t="s">
        <v>29</v>
      </c>
      <c r="C12" s="4" t="s">
        <v>30</v>
      </c>
    </row>
    <row r="14">
      <c r="A14" s="9" t="s">
        <v>31</v>
      </c>
      <c r="B14" s="10"/>
      <c r="C14" s="11"/>
    </row>
    <row r="15" ht="79.5" customHeight="1">
      <c r="A15" s="12" t="s">
        <v>32</v>
      </c>
      <c r="B15" s="10"/>
      <c r="C15" s="11"/>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
    <mergeCell ref="A1:F1"/>
    <mergeCell ref="A14:C14"/>
    <mergeCell ref="A15:C1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75"/>
  <cols>
    <col customWidth="1" min="1" max="1" width="30.0"/>
    <col customWidth="1" min="2" max="2" width="50.0"/>
    <col customWidth="1" hidden="1" min="3" max="4" width="12.0"/>
    <col customWidth="1" min="5" max="5" width="14.0"/>
    <col customWidth="1" min="6" max="6" width="10.0"/>
    <col customWidth="1" min="7" max="8" width="12.0"/>
    <col customWidth="1" min="9" max="9" width="14.0"/>
    <col customWidth="1" min="10" max="10" width="50.0"/>
    <col customWidth="1" min="11" max="26" width="8.71"/>
  </cols>
  <sheetData>
    <row r="1">
      <c r="A1" s="13" t="s">
        <v>33</v>
      </c>
      <c r="B1" s="14"/>
    </row>
    <row r="3">
      <c r="A3" s="2" t="s">
        <v>34</v>
      </c>
      <c r="B3" s="2" t="s">
        <v>4</v>
      </c>
      <c r="C3" s="2" t="s">
        <v>35</v>
      </c>
      <c r="D3" s="2" t="s">
        <v>36</v>
      </c>
      <c r="E3" s="2" t="s">
        <v>37</v>
      </c>
      <c r="F3" s="2" t="s">
        <v>38</v>
      </c>
      <c r="G3" s="2" t="s">
        <v>39</v>
      </c>
      <c r="H3" s="2" t="s">
        <v>40</v>
      </c>
      <c r="I3" s="2" t="s">
        <v>41</v>
      </c>
      <c r="J3" s="2" t="s">
        <v>42</v>
      </c>
    </row>
    <row r="4">
      <c r="A4" s="3" t="s">
        <v>43</v>
      </c>
      <c r="B4" s="3" t="s">
        <v>44</v>
      </c>
      <c r="C4" s="3">
        <v>10.0</v>
      </c>
      <c r="D4" s="3">
        <v>16.0</v>
      </c>
      <c r="E4" s="3">
        <f t="shared" ref="E4:E12" si="2">AVERAGE(C4,D4)</f>
        <v>13</v>
      </c>
      <c r="F4" s="15" t="str">
        <f t="shared" ref="F4:F17" si="3">$B$1</f>
        <v/>
      </c>
      <c r="G4" s="15">
        <f t="shared" ref="G4:I4" si="1">C4*$B$1</f>
        <v>0</v>
      </c>
      <c r="H4" s="15">
        <f t="shared" si="1"/>
        <v>0</v>
      </c>
      <c r="I4" s="15">
        <f t="shared" si="1"/>
        <v>0</v>
      </c>
      <c r="J4" s="3" t="s">
        <v>45</v>
      </c>
    </row>
    <row r="5">
      <c r="A5" s="5" t="s">
        <v>46</v>
      </c>
      <c r="B5" s="5" t="s">
        <v>47</v>
      </c>
      <c r="C5" s="5">
        <v>10.0</v>
      </c>
      <c r="D5" s="5">
        <v>18.0</v>
      </c>
      <c r="E5" s="3">
        <f t="shared" si="2"/>
        <v>14</v>
      </c>
      <c r="F5" s="16" t="str">
        <f t="shared" si="3"/>
        <v/>
      </c>
      <c r="G5" s="16">
        <f t="shared" ref="G5:I5" si="4">C5*$B$1</f>
        <v>0</v>
      </c>
      <c r="H5" s="16">
        <f t="shared" si="4"/>
        <v>0</v>
      </c>
      <c r="I5" s="16">
        <f t="shared" si="4"/>
        <v>0</v>
      </c>
      <c r="J5" s="5" t="s">
        <v>48</v>
      </c>
    </row>
    <row r="6">
      <c r="A6" s="3" t="s">
        <v>49</v>
      </c>
      <c r="B6" s="3" t="s">
        <v>50</v>
      </c>
      <c r="C6" s="17">
        <v>10.0</v>
      </c>
      <c r="D6" s="17">
        <v>16.0</v>
      </c>
      <c r="E6" s="3">
        <f t="shared" si="2"/>
        <v>13</v>
      </c>
      <c r="F6" s="15" t="str">
        <f t="shared" si="3"/>
        <v/>
      </c>
      <c r="G6" s="15">
        <f t="shared" ref="G6:I6" si="5">C6*$B$1</f>
        <v>0</v>
      </c>
      <c r="H6" s="15">
        <f t="shared" si="5"/>
        <v>0</v>
      </c>
      <c r="I6" s="15">
        <f t="shared" si="5"/>
        <v>0</v>
      </c>
      <c r="J6" s="3" t="s">
        <v>51</v>
      </c>
    </row>
    <row r="7">
      <c r="A7" s="5" t="s">
        <v>52</v>
      </c>
      <c r="B7" s="18" t="s">
        <v>53</v>
      </c>
      <c r="C7" s="18">
        <v>10.0</v>
      </c>
      <c r="D7" s="18">
        <v>12.0</v>
      </c>
      <c r="E7" s="3">
        <f t="shared" si="2"/>
        <v>11</v>
      </c>
      <c r="F7" s="16" t="str">
        <f t="shared" si="3"/>
        <v/>
      </c>
      <c r="G7" s="16">
        <f t="shared" ref="G7:I7" si="6">C7*$B$1</f>
        <v>0</v>
      </c>
      <c r="H7" s="16">
        <f t="shared" si="6"/>
        <v>0</v>
      </c>
      <c r="I7" s="16">
        <f t="shared" si="6"/>
        <v>0</v>
      </c>
      <c r="J7" s="5" t="s">
        <v>54</v>
      </c>
    </row>
    <row r="8">
      <c r="A8" s="3" t="s">
        <v>55</v>
      </c>
      <c r="B8" s="3" t="s">
        <v>56</v>
      </c>
      <c r="C8" s="3">
        <v>8.0</v>
      </c>
      <c r="D8" s="3">
        <v>14.0</v>
      </c>
      <c r="E8" s="3">
        <f t="shared" si="2"/>
        <v>11</v>
      </c>
      <c r="F8" s="15" t="str">
        <f t="shared" si="3"/>
        <v/>
      </c>
      <c r="G8" s="15">
        <f t="shared" ref="G8:I8" si="7">C8*$B$1</f>
        <v>0</v>
      </c>
      <c r="H8" s="15">
        <f t="shared" si="7"/>
        <v>0</v>
      </c>
      <c r="I8" s="15">
        <f t="shared" si="7"/>
        <v>0</v>
      </c>
      <c r="J8" s="3" t="s">
        <v>57</v>
      </c>
    </row>
    <row r="9">
      <c r="A9" s="5" t="s">
        <v>58</v>
      </c>
      <c r="B9" s="5" t="s">
        <v>59</v>
      </c>
      <c r="C9" s="5">
        <v>8.0</v>
      </c>
      <c r="D9" s="5">
        <v>16.0</v>
      </c>
      <c r="E9" s="3">
        <f t="shared" si="2"/>
        <v>12</v>
      </c>
      <c r="F9" s="16" t="str">
        <f t="shared" si="3"/>
        <v/>
      </c>
      <c r="G9" s="16">
        <f t="shared" ref="G9:I9" si="8">C9*$B$1</f>
        <v>0</v>
      </c>
      <c r="H9" s="16">
        <f t="shared" si="8"/>
        <v>0</v>
      </c>
      <c r="I9" s="16">
        <f t="shared" si="8"/>
        <v>0</v>
      </c>
      <c r="J9" s="5" t="s">
        <v>60</v>
      </c>
    </row>
    <row r="10">
      <c r="A10" s="3" t="s">
        <v>61</v>
      </c>
      <c r="B10" s="3" t="s">
        <v>62</v>
      </c>
      <c r="C10" s="17">
        <v>2.0</v>
      </c>
      <c r="D10" s="3">
        <v>12.0</v>
      </c>
      <c r="E10" s="3">
        <f t="shared" si="2"/>
        <v>7</v>
      </c>
      <c r="F10" s="15" t="str">
        <f t="shared" si="3"/>
        <v/>
      </c>
      <c r="G10" s="15">
        <f t="shared" ref="G10:I10" si="9">C10*$B$1</f>
        <v>0</v>
      </c>
      <c r="H10" s="15">
        <f t="shared" si="9"/>
        <v>0</v>
      </c>
      <c r="I10" s="15">
        <f t="shared" si="9"/>
        <v>0</v>
      </c>
      <c r="J10" s="3" t="s">
        <v>63</v>
      </c>
    </row>
    <row r="11">
      <c r="A11" s="5" t="s">
        <v>64</v>
      </c>
      <c r="B11" s="5" t="s">
        <v>65</v>
      </c>
      <c r="C11" s="18">
        <v>4.0</v>
      </c>
      <c r="D11" s="5">
        <v>10.0</v>
      </c>
      <c r="E11" s="3">
        <f t="shared" si="2"/>
        <v>7</v>
      </c>
      <c r="F11" s="16" t="str">
        <f t="shared" si="3"/>
        <v/>
      </c>
      <c r="G11" s="16">
        <f t="shared" ref="G11:I11" si="10">C11*$B$1</f>
        <v>0</v>
      </c>
      <c r="H11" s="16">
        <f t="shared" si="10"/>
        <v>0</v>
      </c>
      <c r="I11" s="16">
        <f t="shared" si="10"/>
        <v>0</v>
      </c>
      <c r="J11" s="5" t="s">
        <v>66</v>
      </c>
    </row>
    <row r="12">
      <c r="A12" s="3" t="s">
        <v>67</v>
      </c>
      <c r="B12" s="3" t="s">
        <v>68</v>
      </c>
      <c r="C12" s="3">
        <v>16.0</v>
      </c>
      <c r="D12" s="3">
        <v>32.0</v>
      </c>
      <c r="E12" s="3">
        <f t="shared" si="2"/>
        <v>24</v>
      </c>
      <c r="F12" s="15" t="str">
        <f t="shared" si="3"/>
        <v/>
      </c>
      <c r="G12" s="15">
        <f t="shared" ref="G12:I12" si="11">C12*$B$1</f>
        <v>0</v>
      </c>
      <c r="H12" s="15">
        <f t="shared" si="11"/>
        <v>0</v>
      </c>
      <c r="I12" s="15">
        <f t="shared" si="11"/>
        <v>0</v>
      </c>
      <c r="J12" s="3" t="s">
        <v>69</v>
      </c>
    </row>
    <row r="13" hidden="1">
      <c r="A13" s="5" t="s">
        <v>70</v>
      </c>
      <c r="B13" s="5" t="s">
        <v>71</v>
      </c>
      <c r="C13" s="5"/>
      <c r="D13" s="5"/>
      <c r="E13" s="3"/>
      <c r="F13" s="16" t="str">
        <f t="shared" si="3"/>
        <v/>
      </c>
      <c r="G13" s="16">
        <f t="shared" ref="G13:I13" si="12">C13*$B$1</f>
        <v>0</v>
      </c>
      <c r="H13" s="16">
        <f t="shared" si="12"/>
        <v>0</v>
      </c>
      <c r="I13" s="16">
        <f t="shared" si="12"/>
        <v>0</v>
      </c>
      <c r="J13" s="5" t="s">
        <v>72</v>
      </c>
    </row>
    <row r="14">
      <c r="A14" s="3" t="s">
        <v>73</v>
      </c>
      <c r="B14" s="3" t="s">
        <v>74</v>
      </c>
      <c r="C14" s="17">
        <v>6.0</v>
      </c>
      <c r="D14" s="17">
        <v>10.0</v>
      </c>
      <c r="E14" s="3">
        <f>AVERAGE(C14,D14)</f>
        <v>8</v>
      </c>
      <c r="F14" s="15" t="str">
        <f t="shared" si="3"/>
        <v/>
      </c>
      <c r="G14" s="15">
        <f t="shared" ref="G14:I14" si="13">C14*$B$1</f>
        <v>0</v>
      </c>
      <c r="H14" s="15">
        <f t="shared" si="13"/>
        <v>0</v>
      </c>
      <c r="I14" s="15">
        <f t="shared" si="13"/>
        <v>0</v>
      </c>
      <c r="J14" s="3" t="s">
        <v>75</v>
      </c>
    </row>
    <row r="15" hidden="1">
      <c r="A15" s="5" t="s">
        <v>76</v>
      </c>
      <c r="B15" s="5" t="s">
        <v>77</v>
      </c>
      <c r="C15" s="5"/>
      <c r="D15" s="5"/>
      <c r="E15" s="3"/>
      <c r="F15" s="16" t="str">
        <f t="shared" si="3"/>
        <v/>
      </c>
      <c r="G15" s="16">
        <f t="shared" ref="G15:I15" si="14">C15*$B$1</f>
        <v>0</v>
      </c>
      <c r="H15" s="16">
        <f t="shared" si="14"/>
        <v>0</v>
      </c>
      <c r="I15" s="16">
        <f t="shared" si="14"/>
        <v>0</v>
      </c>
      <c r="J15" s="5" t="s">
        <v>78</v>
      </c>
    </row>
    <row r="16">
      <c r="A16" s="3" t="s">
        <v>79</v>
      </c>
      <c r="B16" s="3" t="s">
        <v>80</v>
      </c>
      <c r="C16" s="17">
        <v>10.0</v>
      </c>
      <c r="D16" s="17">
        <v>12.0</v>
      </c>
      <c r="E16" s="3">
        <f t="shared" ref="E16:E17" si="16">AVERAGE(C16,D16)</f>
        <v>11</v>
      </c>
      <c r="F16" s="15" t="str">
        <f t="shared" si="3"/>
        <v/>
      </c>
      <c r="G16" s="15">
        <f t="shared" ref="G16:I16" si="15">C16*$B$1</f>
        <v>0</v>
      </c>
      <c r="H16" s="15">
        <f t="shared" si="15"/>
        <v>0</v>
      </c>
      <c r="I16" s="15">
        <f t="shared" si="15"/>
        <v>0</v>
      </c>
      <c r="J16" s="3" t="s">
        <v>81</v>
      </c>
    </row>
    <row r="17">
      <c r="A17" s="5" t="s">
        <v>82</v>
      </c>
      <c r="B17" s="5" t="s">
        <v>83</v>
      </c>
      <c r="C17" s="5">
        <v>14.0</v>
      </c>
      <c r="D17" s="5">
        <v>22.0</v>
      </c>
      <c r="E17" s="3">
        <f t="shared" si="16"/>
        <v>18</v>
      </c>
      <c r="F17" s="16" t="str">
        <f t="shared" si="3"/>
        <v/>
      </c>
      <c r="G17" s="16">
        <f t="shared" ref="G17:I17" si="17">C17*$B$1</f>
        <v>0</v>
      </c>
      <c r="H17" s="16">
        <f t="shared" si="17"/>
        <v>0</v>
      </c>
      <c r="I17" s="16">
        <f t="shared" si="17"/>
        <v>0</v>
      </c>
      <c r="J17" s="5" t="s">
        <v>84</v>
      </c>
    </row>
    <row r="18">
      <c r="A18" s="19" t="s">
        <v>85</v>
      </c>
      <c r="B18" s="20"/>
      <c r="C18" s="19">
        <f t="shared" ref="C18:E18" si="18">SUM(C4:C17)</f>
        <v>108</v>
      </c>
      <c r="D18" s="19">
        <f t="shared" si="18"/>
        <v>190</v>
      </c>
      <c r="E18" s="19">
        <f t="shared" si="18"/>
        <v>149</v>
      </c>
      <c r="F18" s="20"/>
      <c r="G18" s="21">
        <f t="shared" ref="G18:I18" si="19">SUM(G4:G17)</f>
        <v>0</v>
      </c>
      <c r="H18" s="21">
        <f t="shared" si="19"/>
        <v>0</v>
      </c>
      <c r="I18" s="21">
        <f t="shared" si="19"/>
        <v>0</v>
      </c>
      <c r="J18" s="20"/>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75"/>
  <cols>
    <col customWidth="1" min="1" max="1" width="5.0"/>
    <col customWidth="1" min="2" max="2" width="25.0"/>
    <col customWidth="1" min="3" max="4" width="12.0"/>
    <col customWidth="1" min="5" max="6" width="50.0"/>
    <col customWidth="1" min="7" max="7" width="20.0"/>
    <col customWidth="1" min="8" max="8" width="10.0"/>
    <col customWidth="1" min="9" max="26" width="8.71"/>
  </cols>
  <sheetData>
    <row r="1">
      <c r="A1" s="2" t="s">
        <v>86</v>
      </c>
      <c r="B1" s="2" t="s">
        <v>87</v>
      </c>
      <c r="C1" s="2" t="s">
        <v>88</v>
      </c>
      <c r="D1" s="2" t="s">
        <v>89</v>
      </c>
      <c r="E1" s="2" t="s">
        <v>90</v>
      </c>
      <c r="F1" s="2" t="s">
        <v>91</v>
      </c>
      <c r="G1" s="2" t="s">
        <v>92</v>
      </c>
      <c r="H1" s="2" t="s">
        <v>93</v>
      </c>
    </row>
    <row r="2">
      <c r="A2" s="3">
        <v>1.0</v>
      </c>
      <c r="B2" s="3" t="s">
        <v>94</v>
      </c>
      <c r="C2" s="22" t="s">
        <v>95</v>
      </c>
      <c r="D2" s="23" t="s">
        <v>96</v>
      </c>
      <c r="E2" s="3" t="s">
        <v>97</v>
      </c>
      <c r="F2" s="3" t="s">
        <v>98</v>
      </c>
      <c r="G2" s="3" t="s">
        <v>99</v>
      </c>
      <c r="H2" s="3" t="s">
        <v>100</v>
      </c>
    </row>
    <row r="3">
      <c r="A3" s="5">
        <v>2.0</v>
      </c>
      <c r="B3" s="5" t="s">
        <v>101</v>
      </c>
      <c r="C3" s="23" t="s">
        <v>96</v>
      </c>
      <c r="D3" s="22" t="s">
        <v>95</v>
      </c>
      <c r="E3" s="5" t="s">
        <v>102</v>
      </c>
      <c r="F3" s="5" t="s">
        <v>103</v>
      </c>
      <c r="G3" s="5" t="s">
        <v>104</v>
      </c>
      <c r="H3" s="5" t="s">
        <v>100</v>
      </c>
    </row>
    <row r="4">
      <c r="A4" s="3">
        <v>3.0</v>
      </c>
      <c r="B4" s="3" t="s">
        <v>105</v>
      </c>
      <c r="C4" s="22" t="s">
        <v>95</v>
      </c>
      <c r="D4" s="22" t="s">
        <v>95</v>
      </c>
      <c r="E4" s="3" t="s">
        <v>106</v>
      </c>
      <c r="F4" s="3" t="s">
        <v>107</v>
      </c>
      <c r="G4" s="3" t="s">
        <v>108</v>
      </c>
      <c r="H4" s="3" t="s">
        <v>100</v>
      </c>
    </row>
    <row r="5">
      <c r="A5" s="5">
        <v>4.0</v>
      </c>
      <c r="B5" s="5" t="s">
        <v>109</v>
      </c>
      <c r="C5" s="22" t="s">
        <v>95</v>
      </c>
      <c r="D5" s="22" t="s">
        <v>95</v>
      </c>
      <c r="E5" s="5" t="s">
        <v>110</v>
      </c>
      <c r="F5" s="5" t="s">
        <v>111</v>
      </c>
      <c r="G5" s="5" t="s">
        <v>112</v>
      </c>
      <c r="H5" s="5" t="s">
        <v>100</v>
      </c>
    </row>
    <row r="6">
      <c r="A6" s="3">
        <v>5.0</v>
      </c>
      <c r="B6" s="3" t="s">
        <v>113</v>
      </c>
      <c r="C6" s="22" t="s">
        <v>95</v>
      </c>
      <c r="D6" s="22" t="s">
        <v>95</v>
      </c>
      <c r="E6" s="3" t="s">
        <v>114</v>
      </c>
      <c r="F6" s="3" t="s">
        <v>115</v>
      </c>
      <c r="G6" s="3" t="s">
        <v>99</v>
      </c>
      <c r="H6" s="3" t="s">
        <v>100</v>
      </c>
    </row>
    <row r="7">
      <c r="A7" s="5">
        <v>6.0</v>
      </c>
      <c r="B7" s="5" t="s">
        <v>116</v>
      </c>
      <c r="C7" s="24" t="s">
        <v>117</v>
      </c>
      <c r="D7" s="24" t="s">
        <v>117</v>
      </c>
      <c r="E7" s="5" t="s">
        <v>118</v>
      </c>
      <c r="F7" s="5" t="s">
        <v>119</v>
      </c>
      <c r="G7" s="5" t="s">
        <v>108</v>
      </c>
      <c r="H7" s="5" t="s">
        <v>100</v>
      </c>
    </row>
    <row r="8">
      <c r="A8" s="3">
        <v>7.0</v>
      </c>
      <c r="B8" s="3" t="s">
        <v>120</v>
      </c>
      <c r="C8" s="24" t="s">
        <v>117</v>
      </c>
      <c r="D8" s="22" t="s">
        <v>95</v>
      </c>
      <c r="E8" s="3" t="s">
        <v>121</v>
      </c>
      <c r="F8" s="3" t="s">
        <v>122</v>
      </c>
      <c r="G8" s="3" t="s">
        <v>99</v>
      </c>
      <c r="H8" s="3" t="s">
        <v>100</v>
      </c>
    </row>
    <row r="9">
      <c r="A9" s="5">
        <v>8.0</v>
      </c>
      <c r="B9" s="5" t="s">
        <v>123</v>
      </c>
      <c r="C9" s="24" t="s">
        <v>117</v>
      </c>
      <c r="D9" s="24" t="s">
        <v>117</v>
      </c>
      <c r="E9" s="5" t="s">
        <v>124</v>
      </c>
      <c r="F9" s="5" t="s">
        <v>125</v>
      </c>
      <c r="G9" s="5" t="s">
        <v>108</v>
      </c>
      <c r="H9" s="5" t="s">
        <v>100</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1:$H$9"/>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8.0"/>
    <col customWidth="1" min="2" max="2" width="60.0"/>
    <col customWidth="1" min="3" max="3" width="30.0"/>
    <col customWidth="1" min="4" max="26" width="8.71"/>
  </cols>
  <sheetData>
    <row r="1">
      <c r="A1" s="25" t="s">
        <v>126</v>
      </c>
      <c r="B1" s="10"/>
      <c r="C1" s="11"/>
    </row>
    <row r="2">
      <c r="A2" s="26">
        <v>1.0</v>
      </c>
      <c r="B2" s="27" t="s">
        <v>127</v>
      </c>
      <c r="C2" s="11"/>
    </row>
    <row r="3">
      <c r="A3" s="28">
        <v>2.0</v>
      </c>
      <c r="B3" s="29" t="s">
        <v>128</v>
      </c>
      <c r="C3" s="11"/>
    </row>
    <row r="4">
      <c r="A4" s="26">
        <v>3.0</v>
      </c>
      <c r="B4" s="27" t="s">
        <v>129</v>
      </c>
      <c r="C4" s="11"/>
    </row>
    <row r="5">
      <c r="A5" s="28">
        <v>4.0</v>
      </c>
      <c r="B5" s="29" t="s">
        <v>130</v>
      </c>
      <c r="C5" s="11"/>
    </row>
    <row r="6">
      <c r="A6" s="26">
        <v>5.0</v>
      </c>
      <c r="B6" s="27" t="s">
        <v>131</v>
      </c>
      <c r="C6" s="11"/>
    </row>
    <row r="7">
      <c r="A7" s="28">
        <v>6.0</v>
      </c>
      <c r="B7" s="29" t="s">
        <v>132</v>
      </c>
      <c r="C7" s="11"/>
    </row>
    <row r="8">
      <c r="A8" s="26">
        <v>7.0</v>
      </c>
      <c r="B8" s="27" t="s">
        <v>133</v>
      </c>
      <c r="C8" s="11"/>
    </row>
    <row r="9">
      <c r="A9" s="28">
        <v>8.0</v>
      </c>
      <c r="B9" s="29" t="s">
        <v>134</v>
      </c>
      <c r="C9" s="11"/>
    </row>
    <row r="10">
      <c r="A10" s="26">
        <v>9.0</v>
      </c>
      <c r="B10" s="27" t="s">
        <v>135</v>
      </c>
      <c r="C10" s="11"/>
    </row>
    <row r="11">
      <c r="A11" s="28">
        <v>10.0</v>
      </c>
      <c r="B11" s="29" t="s">
        <v>136</v>
      </c>
      <c r="C11" s="11"/>
    </row>
    <row r="12">
      <c r="A12" s="26">
        <v>11.0</v>
      </c>
      <c r="B12" s="27" t="s">
        <v>137</v>
      </c>
      <c r="C12" s="11"/>
    </row>
    <row r="13">
      <c r="A13" s="28">
        <v>12.0</v>
      </c>
      <c r="B13" s="29" t="s">
        <v>138</v>
      </c>
      <c r="C13" s="11"/>
    </row>
    <row r="15">
      <c r="A15" s="25" t="s">
        <v>139</v>
      </c>
      <c r="B15" s="10"/>
      <c r="C15" s="11"/>
    </row>
    <row r="16">
      <c r="A16" s="26">
        <v>1.0</v>
      </c>
      <c r="B16" s="27" t="s">
        <v>140</v>
      </c>
      <c r="C16" s="11"/>
    </row>
    <row r="17">
      <c r="A17" s="28">
        <v>2.0</v>
      </c>
      <c r="B17" s="29" t="s">
        <v>141</v>
      </c>
      <c r="C17" s="11"/>
    </row>
    <row r="18">
      <c r="A18" s="26">
        <v>3.0</v>
      </c>
      <c r="B18" s="27" t="s">
        <v>142</v>
      </c>
      <c r="C18" s="11"/>
    </row>
    <row r="19">
      <c r="A19" s="28">
        <v>4.0</v>
      </c>
      <c r="B19" s="29" t="s">
        <v>143</v>
      </c>
      <c r="C19" s="11"/>
    </row>
    <row r="20">
      <c r="A20" s="26">
        <v>5.0</v>
      </c>
      <c r="B20" s="27" t="s">
        <v>144</v>
      </c>
      <c r="C20" s="11"/>
    </row>
    <row r="21">
      <c r="A21" s="28">
        <v>6.0</v>
      </c>
      <c r="B21" s="29" t="s">
        <v>145</v>
      </c>
      <c r="C21" s="11"/>
    </row>
    <row r="22">
      <c r="A22" s="26">
        <v>7.0</v>
      </c>
      <c r="B22" s="27" t="s">
        <v>146</v>
      </c>
      <c r="C22" s="11"/>
    </row>
    <row r="23">
      <c r="A23" s="28">
        <v>8.0</v>
      </c>
      <c r="B23" s="29" t="s">
        <v>147</v>
      </c>
      <c r="C23" s="11"/>
    </row>
    <row r="24">
      <c r="A24" s="26">
        <v>9.0</v>
      </c>
      <c r="B24" s="27" t="s">
        <v>148</v>
      </c>
      <c r="C24" s="11"/>
    </row>
    <row r="25">
      <c r="A25" s="28">
        <v>10.0</v>
      </c>
      <c r="B25" s="29" t="s">
        <v>149</v>
      </c>
      <c r="C25" s="11"/>
    </row>
    <row r="26"/>
    <row r="27">
      <c r="A27" s="25" t="s">
        <v>150</v>
      </c>
      <c r="B27" s="10"/>
      <c r="C27" s="11"/>
    </row>
    <row r="28">
      <c r="A28" s="26">
        <v>1.0</v>
      </c>
      <c r="B28" s="27" t="s">
        <v>151</v>
      </c>
      <c r="C28" s="11"/>
    </row>
    <row r="29">
      <c r="A29" s="28">
        <v>2.0</v>
      </c>
      <c r="B29" s="29" t="s">
        <v>152</v>
      </c>
      <c r="C29" s="11"/>
    </row>
    <row r="30">
      <c r="A30" s="26">
        <v>3.0</v>
      </c>
      <c r="B30" s="27" t="s">
        <v>153</v>
      </c>
      <c r="C30" s="11"/>
    </row>
    <row r="31">
      <c r="A31" s="28">
        <v>4.0</v>
      </c>
      <c r="B31" s="29" t="s">
        <v>154</v>
      </c>
      <c r="C31" s="11"/>
    </row>
    <row r="32">
      <c r="A32" s="26">
        <v>5.0</v>
      </c>
      <c r="B32" s="27" t="s">
        <v>155</v>
      </c>
      <c r="C32" s="11"/>
    </row>
    <row r="33">
      <c r="A33" s="28">
        <v>6.0</v>
      </c>
      <c r="B33" s="29" t="s">
        <v>156</v>
      </c>
      <c r="C33" s="11"/>
    </row>
    <row r="34">
      <c r="A34" s="26">
        <v>7.0</v>
      </c>
      <c r="B34" s="27" t="s">
        <v>157</v>
      </c>
      <c r="C34" s="11"/>
    </row>
    <row r="35">
      <c r="A35" s="28">
        <v>8.0</v>
      </c>
      <c r="B35" s="29" t="s">
        <v>158</v>
      </c>
      <c r="C35" s="11"/>
    </row>
    <row r="36">
      <c r="A36" s="26">
        <v>9.0</v>
      </c>
      <c r="B36" s="27" t="s">
        <v>159</v>
      </c>
      <c r="C36" s="11"/>
    </row>
    <row r="37"/>
    <row r="38">
      <c r="A38" s="25" t="s">
        <v>160</v>
      </c>
      <c r="B38" s="10"/>
      <c r="C38" s="11"/>
    </row>
    <row r="39">
      <c r="A39" s="26">
        <v>1.0</v>
      </c>
      <c r="B39" s="27" t="s">
        <v>161</v>
      </c>
      <c r="C39" s="11"/>
    </row>
    <row r="40">
      <c r="A40" s="28">
        <v>2.0</v>
      </c>
      <c r="B40" s="29" t="s">
        <v>162</v>
      </c>
      <c r="C40" s="11"/>
    </row>
    <row r="41">
      <c r="A41" s="26">
        <v>3.0</v>
      </c>
      <c r="B41" s="27" t="s">
        <v>163</v>
      </c>
      <c r="C41" s="11"/>
    </row>
    <row r="42">
      <c r="A42" s="28">
        <v>4.0</v>
      </c>
      <c r="B42" s="29" t="s">
        <v>164</v>
      </c>
      <c r="C42" s="11"/>
    </row>
    <row r="43">
      <c r="A43" s="26">
        <v>5.0</v>
      </c>
      <c r="B43" s="27" t="s">
        <v>165</v>
      </c>
      <c r="C43" s="11"/>
    </row>
    <row r="44">
      <c r="A44" s="28">
        <v>6.0</v>
      </c>
      <c r="B44" s="29" t="s">
        <v>166</v>
      </c>
      <c r="C44" s="11"/>
    </row>
    <row r="45">
      <c r="A45" s="26">
        <v>7.0</v>
      </c>
      <c r="B45" s="27" t="s">
        <v>167</v>
      </c>
      <c r="C45" s="11"/>
    </row>
    <row r="46">
      <c r="A46" s="28">
        <v>8.0</v>
      </c>
      <c r="B46" s="29" t="s">
        <v>168</v>
      </c>
      <c r="C46" s="11"/>
    </row>
    <row r="47">
      <c r="A47" s="26">
        <v>9.0</v>
      </c>
      <c r="B47" s="27" t="s">
        <v>169</v>
      </c>
      <c r="C47" s="11"/>
    </row>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4">
    <mergeCell ref="A1:C1"/>
    <mergeCell ref="B2:C2"/>
    <mergeCell ref="B3:C3"/>
    <mergeCell ref="B4:C4"/>
    <mergeCell ref="B5:C5"/>
    <mergeCell ref="B6:C6"/>
    <mergeCell ref="B7:C7"/>
    <mergeCell ref="B8:C8"/>
    <mergeCell ref="B9:C9"/>
    <mergeCell ref="B10:C10"/>
    <mergeCell ref="B11:C11"/>
    <mergeCell ref="B12:C12"/>
    <mergeCell ref="B13:C13"/>
    <mergeCell ref="A15:C15"/>
    <mergeCell ref="B16:C16"/>
    <mergeCell ref="B17:C17"/>
    <mergeCell ref="B18:C18"/>
    <mergeCell ref="B19:C19"/>
    <mergeCell ref="B20:C20"/>
    <mergeCell ref="B21:C21"/>
    <mergeCell ref="B22:C22"/>
    <mergeCell ref="B23:C23"/>
    <mergeCell ref="B24:C24"/>
    <mergeCell ref="B25:C25"/>
    <mergeCell ref="A27:C27"/>
    <mergeCell ref="B28:C28"/>
    <mergeCell ref="B29:C29"/>
    <mergeCell ref="B30:C30"/>
    <mergeCell ref="B31:C31"/>
    <mergeCell ref="B32:C32"/>
    <mergeCell ref="B33:C33"/>
    <mergeCell ref="B34:C34"/>
    <mergeCell ref="B35:C35"/>
    <mergeCell ref="B36:C36"/>
    <mergeCell ref="A38:C38"/>
    <mergeCell ref="B46:C46"/>
    <mergeCell ref="B47:C47"/>
    <mergeCell ref="B39:C39"/>
    <mergeCell ref="B40:C40"/>
    <mergeCell ref="B41:C41"/>
    <mergeCell ref="B42:C42"/>
    <mergeCell ref="B43:C43"/>
    <mergeCell ref="B44:C44"/>
    <mergeCell ref="B45:C45"/>
  </mergeCells>
  <printOptions/>
  <pageMargins bottom="1.0" footer="0.0" header="0.0" left="0.75" right="0.75" top="1.0"/>
  <pageSetup orientation="landscape"/>
  <drawing r:id="rId1"/>
</worksheet>
</file>