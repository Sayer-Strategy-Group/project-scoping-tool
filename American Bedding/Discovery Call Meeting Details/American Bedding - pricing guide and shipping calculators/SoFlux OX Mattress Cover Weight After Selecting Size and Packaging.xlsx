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reight Info\Mattress Cover Weights\"/>
    </mc:Choice>
  </mc:AlternateContent>
  <xr:revisionPtr revIDLastSave="0" documentId="13_ncr:1_{C812E5EB-49DC-4BF5-8BCC-6260D11A8C1D}" xr6:coauthVersionLast="47" xr6:coauthVersionMax="47" xr10:uidLastSave="{00000000-0000-0000-0000-000000000000}"/>
  <workbookProtection workbookPassword="C6F8" lockStructure="1"/>
  <bookViews>
    <workbookView xWindow="22932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1" l="1"/>
  <c r="D27" i="1"/>
  <c r="D28" i="1"/>
  <c r="D31" i="1"/>
  <c r="D32" i="1" s="1"/>
  <c r="D33" i="1"/>
  <c r="D34" i="1" s="1"/>
  <c r="F12" i="1"/>
  <c r="D29" i="1" l="1"/>
  <c r="D30" i="1" s="1"/>
  <c r="D36" i="1" s="1"/>
  <c r="D38" i="1" s="1"/>
  <c r="D39" i="1" l="1"/>
  <c r="D42" i="1" s="1"/>
  <c r="D40" i="1" s="1"/>
</calcChain>
</file>

<file path=xl/sharedStrings.xml><?xml version="1.0" encoding="utf-8"?>
<sst xmlns="http://schemas.openxmlformats.org/spreadsheetml/2006/main" count="53" uniqueCount="40">
  <si>
    <t>Zipper</t>
  </si>
  <si>
    <t>grams /yd2</t>
  </si>
  <si>
    <t xml:space="preserve"> </t>
  </si>
  <si>
    <t>grams/ft</t>
  </si>
  <si>
    <t>grams</t>
  </si>
  <si>
    <t>grams/ft2</t>
  </si>
  <si>
    <t>Bag, If cover required</t>
  </si>
  <si>
    <t>Width</t>
  </si>
  <si>
    <t>Inches</t>
  </si>
  <si>
    <t>Length</t>
  </si>
  <si>
    <t>Depth</t>
  </si>
  <si>
    <t>inches</t>
  </si>
  <si>
    <t>Yd2</t>
  </si>
  <si>
    <t>Amont of Fabric</t>
  </si>
  <si>
    <t>Cut Width</t>
  </si>
  <si>
    <t>Target Amount of Covers to Ship</t>
  </si>
  <si>
    <t>Zipper Length</t>
  </si>
  <si>
    <t>Zipper Wt</t>
  </si>
  <si>
    <t>Lbs</t>
  </si>
  <si>
    <t>Bag, ft2 required</t>
  </si>
  <si>
    <t>Bag Wt.</t>
  </si>
  <si>
    <t>Bag for Cover Required</t>
  </si>
  <si>
    <t>1 for Yes, O for No</t>
  </si>
  <si>
    <t>Weight of Fabric in Cover</t>
  </si>
  <si>
    <t>Total Amount of Boxes</t>
  </si>
  <si>
    <t>Total Weight of Shipment</t>
  </si>
  <si>
    <t>Total Weight of Finished Cover</t>
  </si>
  <si>
    <t>Max Weight per Box</t>
  </si>
  <si>
    <t>Cut Length</t>
  </si>
  <si>
    <t>Program to Calculate Cover Weights, Amount of Boxes and Box Weight</t>
  </si>
  <si>
    <t>Input Information</t>
  </si>
  <si>
    <t>Results</t>
  </si>
  <si>
    <t>SoFlux OX Covers</t>
  </si>
  <si>
    <t>SoFlux OX Cover, Weight  Calculation</t>
  </si>
  <si>
    <t>SoFlux OX Fabric</t>
  </si>
  <si>
    <t>Average Wt in Each Box</t>
  </si>
  <si>
    <t>Maximum Covers in one Box</t>
  </si>
  <si>
    <t xml:space="preserve">Note:  UPS Adds a $24.00 per Box Surcharge for Box Weights Over 50 Lbs. </t>
  </si>
  <si>
    <t>1 = 50 Lbs, 2 = 70 Lbs.</t>
  </si>
  <si>
    <t>Standard Box, 20" L x 16" W  x 15"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</si>
</sst>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 applyProtection="1">
      <protection locked="0"/>
    </xf>
    <xf numFmtId="0" fontId="3" fillId="0" borderId="1" xfId="0" applyFont="1" applyBorder="1"/>
    <xf numFmtId="0" fontId="3" fillId="2" borderId="1" xfId="0" applyFont="1" applyFill="1" applyBorder="1" applyProtection="1">
      <protection locked="0"/>
    </xf>
    <xf numFmtId="0" fontId="4" fillId="0" borderId="0" xfId="0" applyFont="1"/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/>
    </xf>
    <xf numFmtId="2" fontId="3" fillId="3" borderId="1" xfId="0" applyNumberFormat="1" applyFont="1" applyFill="1" applyBorder="1"/>
    <xf numFmtId="0" fontId="3" fillId="3" borderId="1" xfId="0" applyFont="1" applyFill="1" applyBorder="1"/>
    <xf numFmtId="1" fontId="3" fillId="3" borderId="1" xfId="0" applyNumberFormat="1" applyFont="1" applyFill="1" applyBorder="1"/>
    <xf numFmtId="164" fontId="3" fillId="3" borderId="1" xfId="0" applyNumberFormat="1" applyFont="1" applyFill="1" applyBorder="1"/>
    <xf numFmtId="0" fontId="1" fillId="0" borderId="1" xfId="0" applyFont="1" applyBorder="1"/>
    <xf numFmtId="0" fontId="1" fillId="0" borderId="0" xfId="0" applyFont="1"/>
    <xf numFmtId="0" fontId="1" fillId="5" borderId="0" xfId="0" applyFont="1" applyFill="1" applyProtection="1">
      <protection locked="0"/>
    </xf>
    <xf numFmtId="0" fontId="3" fillId="5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K43"/>
  <sheetViews>
    <sheetView tabSelected="1" workbookViewId="0">
      <selection activeCell="F10" sqref="F10"/>
    </sheetView>
  </sheetViews>
  <sheetFormatPr defaultColWidth="9.109375" defaultRowHeight="13.2" x14ac:dyDescent="0.25"/>
  <cols>
    <col min="1" max="2" width="9.109375" style="2"/>
    <col min="3" max="3" width="35.44140625" style="2" customWidth="1"/>
    <col min="4" max="16384" width="9.109375" style="2"/>
  </cols>
  <sheetData>
    <row r="2" spans="3:11" ht="17.399999999999999" x14ac:dyDescent="0.3">
      <c r="C2" s="1" t="s">
        <v>32</v>
      </c>
    </row>
    <row r="4" spans="3:11" x14ac:dyDescent="0.25">
      <c r="C4" s="2" t="s">
        <v>29</v>
      </c>
    </row>
    <row r="6" spans="3:11" x14ac:dyDescent="0.25">
      <c r="C6" s="2" t="s">
        <v>30</v>
      </c>
      <c r="D6" s="3"/>
    </row>
    <row r="7" spans="3:11" x14ac:dyDescent="0.25">
      <c r="C7" s="2" t="s">
        <v>31</v>
      </c>
      <c r="D7" s="4"/>
    </row>
    <row r="10" spans="3:11" x14ac:dyDescent="0.25">
      <c r="C10" s="5" t="s">
        <v>15</v>
      </c>
      <c r="F10" s="6">
        <v>360</v>
      </c>
    </row>
    <row r="11" spans="3:11" x14ac:dyDescent="0.25">
      <c r="C11" s="16" t="s">
        <v>34</v>
      </c>
      <c r="D11" s="7"/>
      <c r="E11" s="7"/>
      <c r="F11" s="7">
        <v>121.905</v>
      </c>
      <c r="G11" s="7" t="s">
        <v>1</v>
      </c>
      <c r="H11" s="7"/>
      <c r="I11" s="7"/>
      <c r="J11" s="2" t="s">
        <v>2</v>
      </c>
      <c r="K11" s="2" t="s">
        <v>2</v>
      </c>
    </row>
    <row r="12" spans="3:11" x14ac:dyDescent="0.25">
      <c r="C12" s="7" t="s">
        <v>0</v>
      </c>
      <c r="D12" s="7"/>
      <c r="E12" s="7"/>
      <c r="F12" s="7">
        <f>19.9/54</f>
        <v>0.36851851851851847</v>
      </c>
      <c r="G12" s="7" t="s">
        <v>3</v>
      </c>
      <c r="H12" s="7"/>
      <c r="I12" s="7"/>
    </row>
    <row r="13" spans="3:11" x14ac:dyDescent="0.25">
      <c r="C13" s="16" t="s">
        <v>39</v>
      </c>
      <c r="D13" s="7"/>
      <c r="E13" s="7"/>
      <c r="F13" s="7">
        <v>1020.1</v>
      </c>
      <c r="G13" s="7" t="s">
        <v>4</v>
      </c>
      <c r="H13" s="7"/>
      <c r="I13" s="7"/>
    </row>
    <row r="14" spans="3:11" x14ac:dyDescent="0.25">
      <c r="C14" s="7" t="s">
        <v>21</v>
      </c>
      <c r="D14" s="7"/>
      <c r="E14" s="7"/>
      <c r="F14" s="8">
        <v>0</v>
      </c>
      <c r="G14" s="7" t="s">
        <v>22</v>
      </c>
      <c r="H14" s="7"/>
      <c r="I14" s="7"/>
    </row>
    <row r="15" spans="3:11" x14ac:dyDescent="0.25">
      <c r="C15" s="7" t="s">
        <v>6</v>
      </c>
      <c r="D15" s="7"/>
      <c r="E15" s="7"/>
      <c r="F15" s="7">
        <v>14.66</v>
      </c>
      <c r="G15" s="7" t="s">
        <v>5</v>
      </c>
      <c r="H15" s="7"/>
      <c r="I15" s="7"/>
    </row>
    <row r="16" spans="3:11" x14ac:dyDescent="0.25">
      <c r="C16" s="7" t="s">
        <v>27</v>
      </c>
      <c r="D16" s="7"/>
      <c r="E16" s="7"/>
      <c r="F16" s="19">
        <v>1</v>
      </c>
      <c r="G16" s="16" t="s">
        <v>38</v>
      </c>
      <c r="H16" s="16"/>
      <c r="I16" s="16"/>
    </row>
    <row r="17" spans="3:6" hidden="1" x14ac:dyDescent="0.25">
      <c r="F17" s="18">
        <f>IF(AND(F16&gt;0,F16&lt;=1),50,IF(AND(F16&gt;1,F16&lt;=2),70,0))</f>
        <v>50</v>
      </c>
    </row>
    <row r="19" spans="3:6" x14ac:dyDescent="0.25">
      <c r="C19" s="17" t="s">
        <v>37</v>
      </c>
    </row>
    <row r="21" spans="3:6" ht="15.6" x14ac:dyDescent="0.3">
      <c r="C21" s="9" t="s">
        <v>33</v>
      </c>
    </row>
    <row r="23" spans="3:6" x14ac:dyDescent="0.25">
      <c r="C23" s="7" t="s">
        <v>7</v>
      </c>
      <c r="D23" s="8">
        <v>38</v>
      </c>
      <c r="E23" s="7" t="s">
        <v>8</v>
      </c>
      <c r="F23" s="7"/>
    </row>
    <row r="24" spans="3:6" x14ac:dyDescent="0.25">
      <c r="C24" s="7" t="s">
        <v>9</v>
      </c>
      <c r="D24" s="8">
        <v>80</v>
      </c>
      <c r="E24" s="7" t="s">
        <v>8</v>
      </c>
      <c r="F24" s="7"/>
    </row>
    <row r="25" spans="3:6" x14ac:dyDescent="0.25">
      <c r="C25" s="7" t="s">
        <v>10</v>
      </c>
      <c r="D25" s="8">
        <v>11</v>
      </c>
      <c r="E25" s="7" t="s">
        <v>11</v>
      </c>
      <c r="F25" s="7"/>
    </row>
    <row r="26" spans="3:6" x14ac:dyDescent="0.25">
      <c r="C26" s="7"/>
      <c r="D26" s="7"/>
      <c r="E26" s="7"/>
      <c r="F26" s="7"/>
    </row>
    <row r="27" spans="3:6" x14ac:dyDescent="0.25">
      <c r="C27" s="7" t="s">
        <v>14</v>
      </c>
      <c r="D27" s="7">
        <f>D23+D25+0.5</f>
        <v>49.5</v>
      </c>
      <c r="E27" s="7" t="s">
        <v>11</v>
      </c>
      <c r="F27" s="7"/>
    </row>
    <row r="28" spans="3:6" x14ac:dyDescent="0.25">
      <c r="C28" s="7" t="s">
        <v>28</v>
      </c>
      <c r="D28" s="7">
        <f>D24+D25</f>
        <v>91</v>
      </c>
      <c r="E28" s="7" t="s">
        <v>11</v>
      </c>
      <c r="F28" s="7"/>
    </row>
    <row r="29" spans="3:6" x14ac:dyDescent="0.25">
      <c r="C29" s="7" t="s">
        <v>13</v>
      </c>
      <c r="D29" s="10">
        <f>((D27*D28)*2)/144/9</f>
        <v>6.9513888888888893</v>
      </c>
      <c r="E29" s="7" t="s">
        <v>12</v>
      </c>
      <c r="F29" s="7"/>
    </row>
    <row r="30" spans="3:6" x14ac:dyDescent="0.25">
      <c r="C30" s="7" t="s">
        <v>23</v>
      </c>
      <c r="D30" s="10">
        <f>(D29*F11)/453.6</f>
        <v>1.8681857638888888</v>
      </c>
      <c r="E30" s="7" t="s">
        <v>18</v>
      </c>
      <c r="F30" s="7"/>
    </row>
    <row r="31" spans="3:6" x14ac:dyDescent="0.25">
      <c r="C31" s="7" t="s">
        <v>16</v>
      </c>
      <c r="D31" s="7">
        <f>D23+18</f>
        <v>56</v>
      </c>
      <c r="E31" s="7" t="s">
        <v>11</v>
      </c>
      <c r="F31" s="7"/>
    </row>
    <row r="32" spans="3:6" x14ac:dyDescent="0.25">
      <c r="C32" s="7" t="s">
        <v>17</v>
      </c>
      <c r="D32" s="10">
        <f>(D31*F12)/453.6</f>
        <v>4.5496113397347951E-2</v>
      </c>
      <c r="E32" s="7" t="s">
        <v>18</v>
      </c>
      <c r="F32" s="7"/>
    </row>
    <row r="33" spans="3:6" x14ac:dyDescent="0.25">
      <c r="C33" s="7" t="s">
        <v>19</v>
      </c>
      <c r="D33" s="11" t="str">
        <f>IF(F14=1,D23/12,"0")</f>
        <v>0</v>
      </c>
      <c r="E33" s="7"/>
      <c r="F33" s="7"/>
    </row>
    <row r="34" spans="3:6" x14ac:dyDescent="0.25">
      <c r="C34" s="7" t="s">
        <v>20</v>
      </c>
      <c r="D34" s="10">
        <f>(D33*F15)/453.6</f>
        <v>0</v>
      </c>
      <c r="E34" s="7" t="s">
        <v>18</v>
      </c>
      <c r="F34" s="7"/>
    </row>
    <row r="35" spans="3:6" x14ac:dyDescent="0.25">
      <c r="C35" s="7" t="s">
        <v>2</v>
      </c>
      <c r="D35" s="7"/>
      <c r="E35" s="7"/>
      <c r="F35" s="7"/>
    </row>
    <row r="36" spans="3:6" x14ac:dyDescent="0.25">
      <c r="C36" s="7" t="s">
        <v>26</v>
      </c>
      <c r="D36" s="12">
        <f>D30+D32+D34</f>
        <v>1.9136818772862367</v>
      </c>
      <c r="E36" s="13" t="s">
        <v>18</v>
      </c>
      <c r="F36" s="7"/>
    </row>
    <row r="37" spans="3:6" x14ac:dyDescent="0.25">
      <c r="C37" s="7"/>
      <c r="D37" s="7"/>
      <c r="E37" s="7"/>
      <c r="F37" s="7"/>
    </row>
    <row r="38" spans="3:6" x14ac:dyDescent="0.25">
      <c r="C38" s="7" t="s">
        <v>36</v>
      </c>
      <c r="D38" s="14">
        <f>ROUNDDOWN((F17*0.94)/D36,0)</f>
        <v>24</v>
      </c>
      <c r="E38" s="13"/>
      <c r="F38" s="7"/>
    </row>
    <row r="39" spans="3:6" x14ac:dyDescent="0.25">
      <c r="C39" s="7" t="s">
        <v>24</v>
      </c>
      <c r="D39" s="14">
        <f>ROUNDUP(F10/D38,0)</f>
        <v>15</v>
      </c>
      <c r="E39" s="13" t="s">
        <v>2</v>
      </c>
      <c r="F39" s="7"/>
    </row>
    <row r="40" spans="3:6" x14ac:dyDescent="0.25">
      <c r="C40" s="7" t="s">
        <v>35</v>
      </c>
      <c r="D40" s="15">
        <f>D42/D39</f>
        <v>48.177262762100717</v>
      </c>
      <c r="E40" s="13" t="s">
        <v>18</v>
      </c>
      <c r="F40" s="7"/>
    </row>
    <row r="41" spans="3:6" x14ac:dyDescent="0.25">
      <c r="C41" s="7" t="s">
        <v>2</v>
      </c>
      <c r="D41" s="7"/>
      <c r="E41" s="7"/>
      <c r="F41" s="7"/>
    </row>
    <row r="42" spans="3:6" x14ac:dyDescent="0.25">
      <c r="C42" s="7" t="s">
        <v>25</v>
      </c>
      <c r="D42" s="15">
        <f>D36*F10+(D39*(F13/453.6))</f>
        <v>722.65894143151081</v>
      </c>
      <c r="E42" s="13" t="s">
        <v>18</v>
      </c>
      <c r="F42" s="7"/>
    </row>
    <row r="43" spans="3:6" x14ac:dyDescent="0.25">
      <c r="C43" s="7"/>
      <c r="D43" s="7"/>
      <c r="E43" s="7"/>
      <c r="F43" s="7"/>
    </row>
  </sheetData>
  <sheetProtection algorithmName="SHA-512" hashValue="tvRKtxk73MDCuCGguTHwplKv7W5Llv8FEaUIYtSxO0iwCZ4ib+3eZ7fziIOqeMq98JsbU66Ig/mjd9JMgMOyFQ==" saltValue="Cna/1ZCEthk9J2VtYp0bpA==" spinCount="100000" sheet="1" objects="1" scenarios="1" selectLockedCells="1"/>
  <phoneticPr fontId="0" type="noConversion"/>
  <pageMargins left="0.75" right="0.75" top="1" bottom="1" header="0.5" footer="0.5"/>
  <pageSetup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Reynolds</dc:creator>
  <cp:lastModifiedBy>Don Reynolds</cp:lastModifiedBy>
  <cp:lastPrinted>2021-11-30T21:40:29Z</cp:lastPrinted>
  <dcterms:created xsi:type="dcterms:W3CDTF">2008-03-05T19:23:53Z</dcterms:created>
  <dcterms:modified xsi:type="dcterms:W3CDTF">2024-08-14T16:24:42Z</dcterms:modified>
</cp:coreProperties>
</file>