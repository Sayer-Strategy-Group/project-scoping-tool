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Freight Info\Mattress Cover Weights\"/>
    </mc:Choice>
  </mc:AlternateContent>
  <xr:revisionPtr revIDLastSave="0" documentId="8_{3146A592-0E50-4506-8DD2-569021326C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1" l="1"/>
  <c r="C27" i="1" l="1"/>
  <c r="C28" i="1"/>
  <c r="C31" i="1"/>
  <c r="C32" i="1" s="1"/>
  <c r="C33" i="1"/>
  <c r="C34" i="1" s="1"/>
  <c r="E12" i="1"/>
  <c r="C29" i="1" l="1"/>
  <c r="C30" i="1" s="1"/>
  <c r="C36" i="1" s="1"/>
  <c r="C38" i="1" s="1"/>
  <c r="C39" i="1" s="1"/>
  <c r="C42" i="1" l="1"/>
  <c r="C40" i="1" s="1"/>
</calcChain>
</file>

<file path=xl/sharedStrings.xml><?xml version="1.0" encoding="utf-8"?>
<sst xmlns="http://schemas.openxmlformats.org/spreadsheetml/2006/main" count="57" uniqueCount="42">
  <si>
    <t>Zipper</t>
  </si>
  <si>
    <t>grams /yd2</t>
  </si>
  <si>
    <t xml:space="preserve"> </t>
  </si>
  <si>
    <t>grams/ft</t>
  </si>
  <si>
    <t>grams</t>
  </si>
  <si>
    <t>Standard Box, 22" L x 16" W  x 15" H</t>
  </si>
  <si>
    <t>grams/ft2</t>
  </si>
  <si>
    <t>Bag, If cover required</t>
  </si>
  <si>
    <t>Vinyl Cover, Weight  Calculation</t>
  </si>
  <si>
    <t>Width</t>
  </si>
  <si>
    <t>Inches</t>
  </si>
  <si>
    <t>Length</t>
  </si>
  <si>
    <t>Depth</t>
  </si>
  <si>
    <t>inches</t>
  </si>
  <si>
    <t>Yd2</t>
  </si>
  <si>
    <t>Amont of Fabric</t>
  </si>
  <si>
    <t>Cut Width</t>
  </si>
  <si>
    <t>Target Amount of Covers to Ship</t>
  </si>
  <si>
    <t>Zipper Length</t>
  </si>
  <si>
    <t>Zipper Wt</t>
  </si>
  <si>
    <t>Lbs</t>
  </si>
  <si>
    <t>Bag, ft2 required</t>
  </si>
  <si>
    <t>Bag Wt.</t>
  </si>
  <si>
    <t>Bag for Cover Required</t>
  </si>
  <si>
    <t>1 for Yes, O for No</t>
  </si>
  <si>
    <t>Weight of Fabric in Cover</t>
  </si>
  <si>
    <t>Total Amount of Boxes</t>
  </si>
  <si>
    <t>Total Weight of Shipment</t>
  </si>
  <si>
    <t>Total Weight of Finished Cover</t>
  </si>
  <si>
    <t>Max Weight per Box</t>
  </si>
  <si>
    <t>Cut Length</t>
  </si>
  <si>
    <t>Program to Calculate Cover Weights, Amount of Boxes and Box Weight</t>
  </si>
  <si>
    <t>Input Information</t>
  </si>
  <si>
    <t>Results</t>
  </si>
  <si>
    <t>Vinyl Covers</t>
  </si>
  <si>
    <t>Average Wt in Each Box</t>
  </si>
  <si>
    <t>Maximum # Covers in a Box</t>
  </si>
  <si>
    <t xml:space="preserve">Note:  UPS Adds a $24.00 per Box Surcharge for Box Weights Over 50 Lbs. </t>
  </si>
  <si>
    <t>1 = 50 Lbs, 2 = 70 Lbs.</t>
  </si>
  <si>
    <t>* Note our vinyl fabric can have a fabric weight from 9.4 (267 grams) to 9.9 (281 Grams) oz/yd.</t>
  </si>
  <si>
    <t xml:space="preserve"> and therefore cover weights can vary 2 % more or less, but mostly consistent at 9.7 oz./ yd2. </t>
  </si>
  <si>
    <t>Vinyl Fabric, 10.5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</si>
</sst>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2" borderId="0" xfId="0" applyFont="1" applyFill="1" applyProtection="1">
      <protection locked="0"/>
    </xf>
    <xf numFmtId="0" fontId="4" fillId="0" borderId="1" xfId="0" applyFont="1" applyBorder="1"/>
    <xf numFmtId="2" fontId="4" fillId="0" borderId="1" xfId="0" applyNumberFormat="1" applyFont="1" applyBorder="1"/>
    <xf numFmtId="0" fontId="5" fillId="0" borderId="0" xfId="0" applyFont="1"/>
    <xf numFmtId="0" fontId="4" fillId="2" borderId="1" xfId="0" applyFont="1" applyFill="1" applyBorder="1" applyProtection="1">
      <protection locked="0"/>
    </xf>
    <xf numFmtId="0" fontId="6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/>
    <xf numFmtId="0" fontId="4" fillId="3" borderId="1" xfId="0" applyFont="1" applyFill="1" applyBorder="1"/>
    <xf numFmtId="1" fontId="4" fillId="3" borderId="1" xfId="0" applyNumberFormat="1" applyFont="1" applyFill="1" applyBorder="1"/>
    <xf numFmtId="164" fontId="4" fillId="3" borderId="1" xfId="0" applyNumberFormat="1" applyFont="1" applyFill="1" applyBorder="1"/>
    <xf numFmtId="0" fontId="2" fillId="0" borderId="1" xfId="0" applyFont="1" applyBorder="1"/>
    <xf numFmtId="0" fontId="4" fillId="5" borderId="1" xfId="0" applyFont="1" applyFill="1" applyBorder="1" applyProtection="1">
      <protection locked="0"/>
    </xf>
    <xf numFmtId="0" fontId="2" fillId="0" borderId="0" xfId="0" applyFont="1"/>
    <xf numFmtId="0" fontId="2" fillId="0" borderId="2" xfId="0" applyFont="1" applyBorder="1"/>
    <xf numFmtId="0" fontId="4" fillId="0" borderId="2" xfId="0" applyFont="1" applyBorder="1"/>
    <xf numFmtId="0" fontId="4" fillId="5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46"/>
  <sheetViews>
    <sheetView tabSelected="1" workbookViewId="0">
      <selection activeCell="E14" sqref="E14"/>
    </sheetView>
  </sheetViews>
  <sheetFormatPr defaultColWidth="9.109375" defaultRowHeight="13.2" x14ac:dyDescent="0.25"/>
  <cols>
    <col min="1" max="1" width="9.109375" style="2"/>
    <col min="2" max="2" width="35.44140625" style="2" customWidth="1"/>
    <col min="3" max="16384" width="9.109375" style="2"/>
  </cols>
  <sheetData>
    <row r="2" spans="2:11" ht="17.399999999999999" x14ac:dyDescent="0.3">
      <c r="B2" s="1" t="s">
        <v>34</v>
      </c>
    </row>
    <row r="4" spans="2:11" x14ac:dyDescent="0.25">
      <c r="B4" s="2" t="s">
        <v>31</v>
      </c>
    </row>
    <row r="6" spans="2:11" x14ac:dyDescent="0.25">
      <c r="B6" s="2" t="s">
        <v>32</v>
      </c>
      <c r="C6" s="3"/>
    </row>
    <row r="7" spans="2:11" x14ac:dyDescent="0.25">
      <c r="B7" s="2" t="s">
        <v>33</v>
      </c>
      <c r="C7" s="4"/>
    </row>
    <row r="10" spans="2:11" x14ac:dyDescent="0.25">
      <c r="B10" s="5" t="s">
        <v>17</v>
      </c>
      <c r="E10" s="6">
        <v>340</v>
      </c>
    </row>
    <row r="11" spans="2:11" x14ac:dyDescent="0.25">
      <c r="B11" s="17" t="s">
        <v>41</v>
      </c>
      <c r="C11" s="7"/>
      <c r="D11" s="7"/>
      <c r="E11" s="8">
        <v>297.7</v>
      </c>
      <c r="F11" s="7" t="s">
        <v>1</v>
      </c>
      <c r="G11" s="7"/>
      <c r="H11" s="7"/>
      <c r="K11" s="9" t="s">
        <v>2</v>
      </c>
    </row>
    <row r="12" spans="2:11" x14ac:dyDescent="0.25">
      <c r="B12" s="7" t="s">
        <v>0</v>
      </c>
      <c r="C12" s="7"/>
      <c r="D12" s="7"/>
      <c r="E12" s="7">
        <f>19.9/54</f>
        <v>0.36851851851851847</v>
      </c>
      <c r="F12" s="7" t="s">
        <v>3</v>
      </c>
      <c r="G12" s="7"/>
      <c r="H12" s="7"/>
    </row>
    <row r="13" spans="2:11" x14ac:dyDescent="0.25">
      <c r="B13" s="7" t="s">
        <v>5</v>
      </c>
      <c r="C13" s="7"/>
      <c r="D13" s="7"/>
      <c r="E13" s="7">
        <v>1020.1</v>
      </c>
      <c r="F13" s="7" t="s">
        <v>4</v>
      </c>
      <c r="G13" s="7"/>
      <c r="H13" s="7"/>
    </row>
    <row r="14" spans="2:11" x14ac:dyDescent="0.25">
      <c r="B14" s="7" t="s">
        <v>23</v>
      </c>
      <c r="C14" s="7"/>
      <c r="D14" s="7"/>
      <c r="E14" s="10">
        <v>0</v>
      </c>
      <c r="F14" s="7" t="s">
        <v>24</v>
      </c>
      <c r="G14" s="7"/>
      <c r="H14" s="7"/>
    </row>
    <row r="15" spans="2:11" x14ac:dyDescent="0.25">
      <c r="B15" s="7" t="s">
        <v>7</v>
      </c>
      <c r="C15" s="7"/>
      <c r="D15" s="7"/>
      <c r="E15" s="7">
        <v>14.66</v>
      </c>
      <c r="F15" s="7" t="s">
        <v>6</v>
      </c>
      <c r="G15" s="7"/>
      <c r="H15" s="7"/>
    </row>
    <row r="16" spans="2:11" x14ac:dyDescent="0.25">
      <c r="B16" s="7" t="s">
        <v>29</v>
      </c>
      <c r="C16" s="7"/>
      <c r="D16" s="7"/>
      <c r="E16" s="18">
        <v>1</v>
      </c>
      <c r="F16" s="17" t="s">
        <v>38</v>
      </c>
      <c r="G16" s="17"/>
      <c r="H16" s="7"/>
    </row>
    <row r="17" spans="2:7" hidden="1" x14ac:dyDescent="0.25">
      <c r="B17" s="21"/>
      <c r="E17" s="22">
        <f>IF(AND(E16&gt;0,E16&lt;=1),50,IF(AND(E16&gt;1,E16&lt;=2),70,0))</f>
        <v>50</v>
      </c>
      <c r="F17" s="19"/>
      <c r="G17" s="19"/>
    </row>
    <row r="18" spans="2:7" x14ac:dyDescent="0.25">
      <c r="B18" s="20" t="s">
        <v>2</v>
      </c>
    </row>
    <row r="19" spans="2:7" x14ac:dyDescent="0.25">
      <c r="B19" s="20" t="s">
        <v>37</v>
      </c>
    </row>
    <row r="20" spans="2:7" x14ac:dyDescent="0.25">
      <c r="B20" s="19"/>
    </row>
    <row r="21" spans="2:7" ht="15.6" x14ac:dyDescent="0.3">
      <c r="B21" s="11" t="s">
        <v>8</v>
      </c>
    </row>
    <row r="23" spans="2:7" x14ac:dyDescent="0.25">
      <c r="B23" s="7" t="s">
        <v>9</v>
      </c>
      <c r="C23" s="10">
        <v>30</v>
      </c>
      <c r="D23" s="7" t="s">
        <v>10</v>
      </c>
      <c r="E23" s="7"/>
    </row>
    <row r="24" spans="2:7" x14ac:dyDescent="0.25">
      <c r="B24" s="7" t="s">
        <v>11</v>
      </c>
      <c r="C24" s="10">
        <v>74</v>
      </c>
      <c r="D24" s="7" t="s">
        <v>10</v>
      </c>
      <c r="E24" s="7"/>
    </row>
    <row r="25" spans="2:7" x14ac:dyDescent="0.25">
      <c r="B25" s="7" t="s">
        <v>12</v>
      </c>
      <c r="C25" s="10">
        <v>4</v>
      </c>
      <c r="D25" s="7" t="s">
        <v>13</v>
      </c>
      <c r="E25" s="7"/>
    </row>
    <row r="26" spans="2:7" x14ac:dyDescent="0.25">
      <c r="B26" s="7"/>
      <c r="C26" s="7"/>
      <c r="D26" s="7"/>
      <c r="E26" s="7"/>
    </row>
    <row r="27" spans="2:7" x14ac:dyDescent="0.25">
      <c r="B27" s="7" t="s">
        <v>16</v>
      </c>
      <c r="C27" s="7">
        <f>C23+C25+0.5</f>
        <v>34.5</v>
      </c>
      <c r="D27" s="7" t="s">
        <v>13</v>
      </c>
      <c r="E27" s="7"/>
    </row>
    <row r="28" spans="2:7" x14ac:dyDescent="0.25">
      <c r="B28" s="7" t="s">
        <v>30</v>
      </c>
      <c r="C28" s="7">
        <f>C24+C25</f>
        <v>78</v>
      </c>
      <c r="D28" s="7" t="s">
        <v>13</v>
      </c>
      <c r="E28" s="7"/>
    </row>
    <row r="29" spans="2:7" x14ac:dyDescent="0.25">
      <c r="B29" s="7" t="s">
        <v>15</v>
      </c>
      <c r="C29" s="8">
        <f>((C27*C28)*2)/144/9</f>
        <v>4.1527777777777777</v>
      </c>
      <c r="D29" s="7" t="s">
        <v>14</v>
      </c>
      <c r="E29" s="7"/>
    </row>
    <row r="30" spans="2:7" x14ac:dyDescent="0.25">
      <c r="B30" s="7" t="s">
        <v>25</v>
      </c>
      <c r="C30" s="8">
        <f>(C29*E11)/453.6</f>
        <v>2.7254892955124435</v>
      </c>
      <c r="D30" s="7" t="s">
        <v>20</v>
      </c>
      <c r="E30" s="7"/>
    </row>
    <row r="31" spans="2:7" x14ac:dyDescent="0.25">
      <c r="B31" s="7" t="s">
        <v>18</v>
      </c>
      <c r="C31" s="7">
        <f>C23+18</f>
        <v>48</v>
      </c>
      <c r="D31" s="7" t="s">
        <v>13</v>
      </c>
      <c r="E31" s="7"/>
    </row>
    <row r="32" spans="2:7" x14ac:dyDescent="0.25">
      <c r="B32" s="7" t="s">
        <v>19</v>
      </c>
      <c r="C32" s="8">
        <f>(C31*E12)/453.6</f>
        <v>3.8996668626298248E-2</v>
      </c>
      <c r="D32" s="7" t="s">
        <v>20</v>
      </c>
      <c r="E32" s="7"/>
    </row>
    <row r="33" spans="2:6" x14ac:dyDescent="0.25">
      <c r="B33" s="7" t="s">
        <v>21</v>
      </c>
      <c r="C33" s="12" t="str">
        <f>IF(E14=1,C23/12,"0")</f>
        <v>0</v>
      </c>
      <c r="D33" s="7"/>
      <c r="E33" s="7"/>
    </row>
    <row r="34" spans="2:6" x14ac:dyDescent="0.25">
      <c r="B34" s="7" t="s">
        <v>22</v>
      </c>
      <c r="C34" s="8">
        <f>(C33*E15)/453.6</f>
        <v>0</v>
      </c>
      <c r="D34" s="7" t="s">
        <v>20</v>
      </c>
      <c r="E34" s="7"/>
    </row>
    <row r="35" spans="2:6" x14ac:dyDescent="0.25">
      <c r="B35" s="7" t="s">
        <v>2</v>
      </c>
      <c r="C35" s="7"/>
      <c r="D35" s="7"/>
      <c r="E35" s="7"/>
    </row>
    <row r="36" spans="2:6" x14ac:dyDescent="0.25">
      <c r="B36" s="7" t="s">
        <v>28</v>
      </c>
      <c r="C36" s="13">
        <f>C30+C32+C34</f>
        <v>2.7644859641387418</v>
      </c>
      <c r="D36" s="14" t="s">
        <v>20</v>
      </c>
      <c r="E36" s="7"/>
    </row>
    <row r="37" spans="2:6" x14ac:dyDescent="0.25">
      <c r="B37" s="7"/>
      <c r="C37" s="7"/>
      <c r="D37" s="7"/>
      <c r="E37" s="7"/>
    </row>
    <row r="38" spans="2:6" x14ac:dyDescent="0.25">
      <c r="B38" s="7" t="s">
        <v>36</v>
      </c>
      <c r="C38" s="15">
        <f>ROUNDDOWN((E17*0.98)/C36,0)</f>
        <v>17</v>
      </c>
      <c r="D38" s="14"/>
      <c r="E38" s="7"/>
    </row>
    <row r="39" spans="2:6" x14ac:dyDescent="0.25">
      <c r="B39" s="7" t="s">
        <v>26</v>
      </c>
      <c r="C39" s="15">
        <f>ROUNDUP(E10/C38,0)</f>
        <v>20</v>
      </c>
      <c r="D39" s="14" t="s">
        <v>2</v>
      </c>
      <c r="E39" s="7"/>
      <c r="F39" s="2" t="s">
        <v>2</v>
      </c>
    </row>
    <row r="40" spans="2:6" x14ac:dyDescent="0.25">
      <c r="B40" s="7" t="s">
        <v>35</v>
      </c>
      <c r="C40" s="16">
        <f>C42/C39</f>
        <v>49.245159097589649</v>
      </c>
      <c r="D40" s="14" t="s">
        <v>20</v>
      </c>
      <c r="E40" s="7"/>
      <c r="F40" s="2" t="s">
        <v>2</v>
      </c>
    </row>
    <row r="41" spans="2:6" x14ac:dyDescent="0.25">
      <c r="B41" s="7" t="s">
        <v>2</v>
      </c>
      <c r="C41" s="7"/>
      <c r="D41" s="7"/>
      <c r="E41" s="7"/>
    </row>
    <row r="42" spans="2:6" x14ac:dyDescent="0.25">
      <c r="B42" s="7" t="s">
        <v>27</v>
      </c>
      <c r="C42" s="16">
        <f>(C36*E10)+((C39*E13)/453.6)</f>
        <v>984.90318195179293</v>
      </c>
      <c r="D42" s="14" t="s">
        <v>20</v>
      </c>
      <c r="E42" s="7"/>
    </row>
    <row r="45" spans="2:6" x14ac:dyDescent="0.25">
      <c r="B45" s="19" t="s">
        <v>39</v>
      </c>
    </row>
    <row r="46" spans="2:6" x14ac:dyDescent="0.25">
      <c r="B46" s="19" t="s">
        <v>40</v>
      </c>
    </row>
  </sheetData>
  <sheetProtection algorithmName="SHA-512" hashValue="agJUPkCja0DDOItmmtAtUZv3tq2ZkXboOB0tJwquq+tNFxl7hZsRUyp2xIi0TU/YgGso64883hFPtq+Kb1rjLg==" saltValue="/O7Ozmdkdp13l2U3jY/yiw==" spinCount="100000" sheet="1" objects="1" scenarios="1" selectLockedCells="1"/>
  <phoneticPr fontId="1" type="noConversion"/>
  <pageMargins left="0.75" right="0.75" top="1" bottom="1" header="0.5" footer="0.5"/>
  <pageSetup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Reynolds</dc:creator>
  <cp:lastModifiedBy>Don Reynolds</cp:lastModifiedBy>
  <cp:lastPrinted>2023-11-15T16:46:10Z</cp:lastPrinted>
  <dcterms:created xsi:type="dcterms:W3CDTF">2008-03-05T19:23:53Z</dcterms:created>
  <dcterms:modified xsi:type="dcterms:W3CDTF">2026-03-05T16:17:44Z</dcterms:modified>
</cp:coreProperties>
</file>