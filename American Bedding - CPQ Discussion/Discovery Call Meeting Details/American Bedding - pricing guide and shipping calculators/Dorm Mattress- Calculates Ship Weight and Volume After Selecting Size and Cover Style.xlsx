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Freight Info\Mattresses and Foundations\"/>
    </mc:Choice>
  </mc:AlternateContent>
  <xr:revisionPtr revIDLastSave="0" documentId="13_ncr:1_{6B102769-DDA1-466A-BF43-C0D41C4429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2" i="1" l="1"/>
  <c r="D53" i="1"/>
  <c r="D51" i="1"/>
  <c r="D57" i="1"/>
  <c r="D42" i="1"/>
  <c r="D35" i="1" s="1"/>
  <c r="D43" i="1"/>
  <c r="D41" i="1"/>
  <c r="D50" i="1"/>
  <c r="D40" i="1"/>
  <c r="D44" i="1"/>
  <c r="D45" i="1" s="1"/>
  <c r="D46" i="1"/>
  <c r="D47" i="1" s="1"/>
  <c r="D58" i="1"/>
  <c r="D59" i="1"/>
  <c r="D56" i="1" l="1"/>
  <c r="D48" i="1"/>
  <c r="D49" i="1" s="1"/>
  <c r="D60" i="1"/>
  <c r="D64" i="1"/>
  <c r="D67" i="1" s="1"/>
  <c r="D61" i="1" l="1"/>
  <c r="D63" i="1" s="1"/>
  <c r="D66" i="1" s="1"/>
  <c r="G63" i="1"/>
  <c r="D69" i="1"/>
  <c r="D68" i="1"/>
</calcChain>
</file>

<file path=xl/sharedStrings.xml><?xml version="1.0" encoding="utf-8"?>
<sst xmlns="http://schemas.openxmlformats.org/spreadsheetml/2006/main" count="134" uniqueCount="78">
  <si>
    <t xml:space="preserve"> </t>
  </si>
  <si>
    <t>Width</t>
  </si>
  <si>
    <t>Inches</t>
  </si>
  <si>
    <t>Length</t>
  </si>
  <si>
    <t>Depth</t>
  </si>
  <si>
    <t>inches</t>
  </si>
  <si>
    <t>Yd2</t>
  </si>
  <si>
    <t>Amont of Fabric</t>
  </si>
  <si>
    <t>Lbs</t>
  </si>
  <si>
    <t>1 for Yes, O for No</t>
  </si>
  <si>
    <t>Weight of Fabric in Cover</t>
  </si>
  <si>
    <t>Target Amount of Mattresses to Ship</t>
  </si>
  <si>
    <t>Is a Bag for Mattress Required</t>
  </si>
  <si>
    <t>Bag Wt., If required</t>
  </si>
  <si>
    <t>Cube Volume of Each Mattress</t>
  </si>
  <si>
    <t>Total Weight of Each Mattress</t>
  </si>
  <si>
    <t>Total Weght of All Mattresses</t>
  </si>
  <si>
    <t>Method of Shipment Guideline</t>
  </si>
  <si>
    <t>ft.3</t>
  </si>
  <si>
    <t xml:space="preserve">* Note our vinyl fabric and foam can have some variation and therefore weights can vary slightly. </t>
  </si>
  <si>
    <t>Linear Ft Required in Truck</t>
  </si>
  <si>
    <t xml:space="preserve">Ft  </t>
  </si>
  <si>
    <t>***for widths up to 60"***</t>
  </si>
  <si>
    <t>Cube Volume of All Mattresses</t>
  </si>
  <si>
    <t>Number of Mattress per Bag</t>
  </si>
  <si>
    <t>per Bag</t>
  </si>
  <si>
    <t>Packaged</t>
  </si>
  <si>
    <t>Bag Wt. Distributed per Mattress</t>
  </si>
  <si>
    <t>Choose Mattress Cover Style</t>
  </si>
  <si>
    <t>INPUTS</t>
  </si>
  <si>
    <t>Anti-Bac Vinyl,     Style 1</t>
  </si>
  <si>
    <t>SoFlux OX,          Style 2</t>
  </si>
  <si>
    <t>Pinstripe Cloth,    Style 3</t>
  </si>
  <si>
    <t>Desired Mattress Size - Input</t>
  </si>
  <si>
    <t xml:space="preserve">Output Information </t>
  </si>
  <si>
    <t>Dorm Mattresses - Weights</t>
  </si>
  <si>
    <t>Program to Calculate Dorm Mattress Ship Weights and Cube Volume</t>
  </si>
  <si>
    <t>Choose Foam Topper Series</t>
  </si>
  <si>
    <t>Choose Foam Topper Thickness</t>
  </si>
  <si>
    <t>(Normally 0.75 inches)</t>
  </si>
  <si>
    <t>Choose Cotton Weight</t>
  </si>
  <si>
    <t>4 Lb Cotton,  Batting Type 1</t>
  </si>
  <si>
    <t>8 Lb Cotton,  Batting Type 2</t>
  </si>
  <si>
    <t>Choose Dorm Mattress Construction</t>
  </si>
  <si>
    <t>Foam with Cotton FB - ISJF8-  Type 1</t>
  </si>
  <si>
    <t>Foam with Integrity 30 - A1OX - Type 2</t>
  </si>
  <si>
    <t>Enter 1, 2, or 3 Construction Type</t>
  </si>
  <si>
    <t>(Enter 1  2, or 3 Cover Style</t>
  </si>
  <si>
    <t>12 Lb Cotton, Batting Type 3</t>
  </si>
  <si>
    <t>Enter 0 (NA), 1, 2 or 3  Batting Weight Type</t>
  </si>
  <si>
    <t>Border Cut Height</t>
  </si>
  <si>
    <t>Border Cut Length</t>
  </si>
  <si>
    <t>Cut Top / Bottom Panel Width</t>
  </si>
  <si>
    <t>Cut Top / Bottom Panel Length</t>
  </si>
  <si>
    <t>Typical</t>
  </si>
  <si>
    <t>Innerspring Wt.</t>
  </si>
  <si>
    <t>Integrity 30 Fire Barrier Wt.</t>
  </si>
  <si>
    <t>Foam Wt</t>
  </si>
  <si>
    <t>Flange Length</t>
  </si>
  <si>
    <t>Cotton Batting or Fire Barrier Wt</t>
  </si>
  <si>
    <t>Flange, Wt</t>
  </si>
  <si>
    <t>Tape Edge, Wt</t>
  </si>
  <si>
    <t>Tape Edge Length</t>
  </si>
  <si>
    <t>Cotton Felt Covering Foam, Wt.</t>
  </si>
  <si>
    <t xml:space="preserve">Insulator Pad, Wt. </t>
  </si>
  <si>
    <t>1 Lb Foam, Type 1 in Foam Type</t>
  </si>
  <si>
    <t>1.2 Lb Foam, Type 2 in Foam Type</t>
  </si>
  <si>
    <t>1.5 Lb Foam, Type 3 in Foam Type</t>
  </si>
  <si>
    <t>1.8  Lb Foam, Type 4 in Foam Type</t>
  </si>
  <si>
    <t>Foam Topper Weight, 1 Lb Foam</t>
  </si>
  <si>
    <t>Foam Topper Weight, 1.2 Lb Foam</t>
  </si>
  <si>
    <t>Foam Topper Weight, 1.8 Lb Foam</t>
  </si>
  <si>
    <t xml:space="preserve">Note: An Output of "#VALUE", Error with Inputs </t>
  </si>
  <si>
    <t>**Our Innersprings will also vary in thickness and therefore the mattress depth will vary slightly.</t>
  </si>
  <si>
    <t>(Enter 0 (NA), 1, 2, 3 or 4, See Foam Type Below)</t>
  </si>
  <si>
    <t xml:space="preserve">Foam Topper Weigth, 1.4 Lb Foam </t>
  </si>
  <si>
    <t>Cotton Batting - DORMISCB - Type 3</t>
  </si>
  <si>
    <t xml:space="preserve">** Note, a 364 Coil Count Spring will weigh 4 to 5 Lbs more than a 312 Coil Count Spring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</si>
</sst>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4" borderId="0" xfId="0" applyFont="1" applyFill="1"/>
    <xf numFmtId="3" fontId="2" fillId="2" borderId="0" xfId="0" applyNumberFormat="1" applyFont="1" applyFill="1" applyProtection="1">
      <protection locked="0"/>
    </xf>
    <xf numFmtId="0" fontId="2" fillId="5" borderId="1" xfId="0" applyFont="1" applyFill="1" applyBorder="1"/>
    <xf numFmtId="0" fontId="2" fillId="0" borderId="1" xfId="0" applyFont="1" applyBorder="1"/>
    <xf numFmtId="1" fontId="2" fillId="2" borderId="1" xfId="0" applyNumberFormat="1" applyFont="1" applyFill="1" applyBorder="1" applyProtection="1">
      <protection locked="0"/>
    </xf>
    <xf numFmtId="0" fontId="2" fillId="10" borderId="1" xfId="0" applyFont="1" applyFill="1" applyBorder="1"/>
    <xf numFmtId="0" fontId="2" fillId="6" borderId="1" xfId="0" applyFont="1" applyFill="1" applyBorder="1"/>
    <xf numFmtId="2" fontId="2" fillId="0" borderId="1" xfId="0" applyNumberFormat="1" applyFont="1" applyBorder="1"/>
    <xf numFmtId="0" fontId="2" fillId="7" borderId="1" xfId="0" applyFont="1" applyFill="1" applyBorder="1"/>
    <xf numFmtId="2" fontId="2" fillId="2" borderId="1" xfId="0" applyNumberFormat="1" applyFont="1" applyFill="1" applyBorder="1" applyProtection="1">
      <protection locked="0"/>
    </xf>
    <xf numFmtId="0" fontId="2" fillId="8" borderId="1" xfId="0" applyFont="1" applyFill="1" applyBorder="1"/>
    <xf numFmtId="0" fontId="2" fillId="9" borderId="1" xfId="0" applyFont="1" applyFill="1" applyBorder="1"/>
    <xf numFmtId="0" fontId="5" fillId="0" borderId="0" xfId="0" applyFont="1"/>
    <xf numFmtId="0" fontId="2" fillId="2" borderId="1" xfId="0" applyFont="1" applyFill="1" applyBorder="1" applyProtection="1">
      <protection locked="0"/>
    </xf>
    <xf numFmtId="0" fontId="2" fillId="3" borderId="1" xfId="0" applyFont="1" applyFill="1" applyBorder="1"/>
    <xf numFmtId="0" fontId="2" fillId="3" borderId="0" xfId="0" applyFont="1" applyFill="1"/>
    <xf numFmtId="2" fontId="2" fillId="0" borderId="1" xfId="0" applyNumberFormat="1" applyFont="1" applyBorder="1" applyAlignment="1">
      <alignment horizontal="right"/>
    </xf>
    <xf numFmtId="164" fontId="2" fillId="3" borderId="1" xfId="0" applyNumberFormat="1" applyFont="1" applyFill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0" fontId="2" fillId="3" borderId="3" xfId="0" applyFont="1" applyFill="1" applyBorder="1"/>
    <xf numFmtId="0" fontId="2" fillId="3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75"/>
  <sheetViews>
    <sheetView tabSelected="1" topLeftCell="A39" workbookViewId="0">
      <selection activeCell="F7" sqref="F7"/>
    </sheetView>
  </sheetViews>
  <sheetFormatPr defaultColWidth="9.109375" defaultRowHeight="13.2" x14ac:dyDescent="0.25"/>
  <cols>
    <col min="1" max="2" width="9.109375" style="1"/>
    <col min="3" max="3" width="35.44140625" style="1" customWidth="1"/>
    <col min="4" max="16384" width="9.109375" style="1"/>
  </cols>
  <sheetData>
    <row r="2" spans="1:13" ht="17.399999999999999" x14ac:dyDescent="0.3">
      <c r="C2" s="2" t="s">
        <v>35</v>
      </c>
      <c r="F2" s="1" t="s">
        <v>36</v>
      </c>
    </row>
    <row r="3" spans="1:13" x14ac:dyDescent="0.25">
      <c r="F3" s="1" t="s">
        <v>22</v>
      </c>
    </row>
    <row r="5" spans="1:13" x14ac:dyDescent="0.25">
      <c r="A5" s="1" t="s">
        <v>0</v>
      </c>
      <c r="C5" s="3" t="s">
        <v>29</v>
      </c>
      <c r="D5" s="3"/>
    </row>
    <row r="7" spans="1:13" x14ac:dyDescent="0.25">
      <c r="C7" s="4" t="s">
        <v>11</v>
      </c>
      <c r="F7" s="5">
        <v>1</v>
      </c>
      <c r="L7" s="1" t="s">
        <v>0</v>
      </c>
    </row>
    <row r="8" spans="1:13" x14ac:dyDescent="0.25">
      <c r="L8" s="1" t="s">
        <v>0</v>
      </c>
    </row>
    <row r="11" spans="1:13" x14ac:dyDescent="0.25">
      <c r="C11" s="6" t="s">
        <v>43</v>
      </c>
      <c r="D11" s="7"/>
      <c r="E11" s="7"/>
      <c r="F11" s="8">
        <v>2</v>
      </c>
      <c r="G11" s="7" t="s">
        <v>46</v>
      </c>
      <c r="H11" s="7"/>
      <c r="I11" s="7"/>
    </row>
    <row r="12" spans="1:13" x14ac:dyDescent="0.25">
      <c r="C12" s="6" t="s">
        <v>44</v>
      </c>
      <c r="D12" s="7"/>
      <c r="E12" s="7"/>
      <c r="F12" s="9" t="s">
        <v>0</v>
      </c>
      <c r="G12" s="7"/>
      <c r="H12" s="7"/>
      <c r="I12" s="7"/>
    </row>
    <row r="13" spans="1:13" x14ac:dyDescent="0.25">
      <c r="C13" s="6" t="s">
        <v>45</v>
      </c>
      <c r="D13" s="7"/>
      <c r="E13" s="7"/>
      <c r="F13" s="9"/>
      <c r="G13" s="7"/>
      <c r="H13" s="7"/>
      <c r="I13" s="7"/>
    </row>
    <row r="14" spans="1:13" x14ac:dyDescent="0.25">
      <c r="C14" s="6" t="s">
        <v>76</v>
      </c>
      <c r="D14" s="7"/>
      <c r="E14" s="7"/>
      <c r="F14" s="9" t="s">
        <v>0</v>
      </c>
      <c r="G14" s="7"/>
      <c r="H14" s="7"/>
      <c r="I14" s="7"/>
    </row>
    <row r="15" spans="1:13" x14ac:dyDescent="0.25">
      <c r="C15" s="10" t="s">
        <v>37</v>
      </c>
      <c r="D15" s="7"/>
      <c r="E15" s="7"/>
      <c r="F15" s="8">
        <v>3</v>
      </c>
      <c r="G15" s="7" t="s">
        <v>74</v>
      </c>
      <c r="H15" s="7"/>
      <c r="I15" s="7"/>
      <c r="L15" s="1" t="s">
        <v>0</v>
      </c>
    </row>
    <row r="16" spans="1:13" x14ac:dyDescent="0.25">
      <c r="C16" s="10" t="s">
        <v>65</v>
      </c>
      <c r="D16" s="7"/>
      <c r="E16" s="7"/>
      <c r="F16" s="11" t="s">
        <v>0</v>
      </c>
      <c r="G16" s="7" t="s">
        <v>0</v>
      </c>
      <c r="H16" s="7"/>
      <c r="I16" s="7"/>
      <c r="L16" s="1" t="s">
        <v>0</v>
      </c>
      <c r="M16" s="1" t="s">
        <v>0</v>
      </c>
    </row>
    <row r="17" spans="3:12" x14ac:dyDescent="0.25">
      <c r="C17" s="10" t="s">
        <v>66</v>
      </c>
      <c r="D17" s="7"/>
      <c r="E17" s="7"/>
      <c r="F17" s="11" t="s">
        <v>0</v>
      </c>
      <c r="G17" s="7" t="s">
        <v>0</v>
      </c>
      <c r="H17" s="7"/>
      <c r="I17" s="7"/>
      <c r="L17" s="1" t="s">
        <v>0</v>
      </c>
    </row>
    <row r="18" spans="3:12" x14ac:dyDescent="0.25">
      <c r="C18" s="10" t="s">
        <v>67</v>
      </c>
      <c r="D18" s="7" t="s">
        <v>54</v>
      </c>
      <c r="E18" s="7"/>
      <c r="F18" s="11" t="s">
        <v>0</v>
      </c>
      <c r="G18" s="7" t="s">
        <v>0</v>
      </c>
      <c r="H18" s="7"/>
      <c r="I18" s="7"/>
      <c r="L18" s="1" t="s">
        <v>0</v>
      </c>
    </row>
    <row r="19" spans="3:12" x14ac:dyDescent="0.25">
      <c r="C19" s="10" t="s">
        <v>68</v>
      </c>
      <c r="D19" s="7"/>
      <c r="E19" s="7"/>
      <c r="F19" s="11" t="s">
        <v>0</v>
      </c>
      <c r="G19" s="7" t="s">
        <v>0</v>
      </c>
      <c r="H19" s="7"/>
      <c r="I19" s="7"/>
      <c r="L19" s="1" t="s">
        <v>0</v>
      </c>
    </row>
    <row r="20" spans="3:12" x14ac:dyDescent="0.25">
      <c r="C20" s="12" t="s">
        <v>38</v>
      </c>
      <c r="D20" s="7"/>
      <c r="E20" s="7"/>
      <c r="F20" s="13">
        <v>2</v>
      </c>
      <c r="G20" s="7" t="s">
        <v>2</v>
      </c>
      <c r="H20" s="7" t="s">
        <v>39</v>
      </c>
      <c r="I20" s="7"/>
    </row>
    <row r="21" spans="3:12" x14ac:dyDescent="0.25">
      <c r="C21" s="14" t="s">
        <v>40</v>
      </c>
      <c r="D21" s="7"/>
      <c r="E21" s="7"/>
      <c r="F21" s="8">
        <v>1</v>
      </c>
      <c r="G21" s="7" t="s">
        <v>49</v>
      </c>
      <c r="H21" s="7"/>
      <c r="I21" s="7"/>
    </row>
    <row r="22" spans="3:12" x14ac:dyDescent="0.25">
      <c r="C22" s="14" t="s">
        <v>41</v>
      </c>
      <c r="D22" s="7"/>
      <c r="E22" s="7"/>
      <c r="F22" s="11" t="s">
        <v>0</v>
      </c>
      <c r="G22" s="7"/>
      <c r="H22" s="7"/>
      <c r="I22" s="7"/>
    </row>
    <row r="23" spans="3:12" x14ac:dyDescent="0.25">
      <c r="C23" s="14" t="s">
        <v>42</v>
      </c>
      <c r="D23" s="7"/>
      <c r="E23" s="7"/>
      <c r="F23" s="11"/>
      <c r="G23" s="7"/>
      <c r="H23" s="7"/>
      <c r="I23" s="7"/>
    </row>
    <row r="24" spans="3:12" x14ac:dyDescent="0.25">
      <c r="C24" s="14" t="s">
        <v>48</v>
      </c>
      <c r="D24" s="7"/>
      <c r="E24" s="7"/>
      <c r="F24" s="11"/>
      <c r="G24" s="7"/>
      <c r="H24" s="7"/>
      <c r="I24" s="7"/>
    </row>
    <row r="25" spans="3:12" x14ac:dyDescent="0.25">
      <c r="C25" s="15" t="s">
        <v>28</v>
      </c>
      <c r="D25" s="7"/>
      <c r="E25" s="7"/>
      <c r="F25" s="8">
        <v>2</v>
      </c>
      <c r="G25" s="7" t="s">
        <v>47</v>
      </c>
      <c r="H25" s="7"/>
      <c r="I25" s="7"/>
      <c r="L25" s="1" t="s">
        <v>0</v>
      </c>
    </row>
    <row r="26" spans="3:12" x14ac:dyDescent="0.25">
      <c r="C26" s="15" t="s">
        <v>30</v>
      </c>
      <c r="D26" s="7"/>
      <c r="E26" s="7"/>
      <c r="F26" s="11" t="s">
        <v>0</v>
      </c>
      <c r="G26" s="7" t="s">
        <v>0</v>
      </c>
      <c r="H26" s="7"/>
      <c r="I26" s="7"/>
      <c r="L26" s="1" t="s">
        <v>0</v>
      </c>
    </row>
    <row r="27" spans="3:12" x14ac:dyDescent="0.25">
      <c r="C27" s="15" t="s">
        <v>31</v>
      </c>
      <c r="D27" s="7"/>
      <c r="E27" s="7"/>
      <c r="F27" s="11" t="s">
        <v>0</v>
      </c>
      <c r="G27" s="7" t="s">
        <v>0</v>
      </c>
      <c r="H27" s="7"/>
      <c r="I27" s="7"/>
      <c r="L27" s="1" t="s">
        <v>0</v>
      </c>
    </row>
    <row r="28" spans="3:12" x14ac:dyDescent="0.25">
      <c r="C28" s="15" t="s">
        <v>32</v>
      </c>
      <c r="D28" s="7"/>
      <c r="E28" s="7"/>
      <c r="F28" s="7" t="s">
        <v>0</v>
      </c>
      <c r="G28" s="7" t="s">
        <v>0</v>
      </c>
      <c r="H28" s="7"/>
      <c r="I28" s="7"/>
    </row>
    <row r="29" spans="3:12" x14ac:dyDescent="0.25">
      <c r="C29" s="6" t="s">
        <v>12</v>
      </c>
      <c r="D29" s="7"/>
      <c r="E29" s="7"/>
      <c r="F29" s="8">
        <v>1</v>
      </c>
      <c r="G29" s="7" t="s">
        <v>9</v>
      </c>
      <c r="H29" s="7"/>
      <c r="I29" s="7"/>
    </row>
    <row r="30" spans="3:12" x14ac:dyDescent="0.25">
      <c r="C30" s="6" t="s">
        <v>13</v>
      </c>
      <c r="D30" s="7"/>
      <c r="E30" s="7"/>
      <c r="F30" s="7">
        <v>1.3560000000000001</v>
      </c>
      <c r="G30" s="7" t="s">
        <v>8</v>
      </c>
      <c r="H30" s="7"/>
      <c r="I30" s="7"/>
    </row>
    <row r="32" spans="3:12" ht="15.6" x14ac:dyDescent="0.3">
      <c r="C32" s="16" t="s">
        <v>33</v>
      </c>
      <c r="D32" s="3"/>
    </row>
    <row r="33" spans="3:6" x14ac:dyDescent="0.25">
      <c r="C33" s="7" t="s">
        <v>1</v>
      </c>
      <c r="D33" s="17">
        <v>53</v>
      </c>
      <c r="E33" s="7" t="s">
        <v>2</v>
      </c>
      <c r="F33" s="7"/>
    </row>
    <row r="34" spans="3:6" x14ac:dyDescent="0.25">
      <c r="C34" s="7" t="s">
        <v>3</v>
      </c>
      <c r="D34" s="17">
        <v>80</v>
      </c>
      <c r="E34" s="7" t="s">
        <v>2</v>
      </c>
      <c r="F34" s="7"/>
    </row>
    <row r="35" spans="3:6" x14ac:dyDescent="0.25">
      <c r="C35" s="7" t="s">
        <v>4</v>
      </c>
      <c r="D35" s="18">
        <f>D42-0.25-0.25</f>
        <v>10</v>
      </c>
      <c r="E35" s="7" t="s">
        <v>5</v>
      </c>
      <c r="F35" s="7"/>
    </row>
    <row r="37" spans="3:6" ht="15.6" x14ac:dyDescent="0.3">
      <c r="C37" s="16" t="s">
        <v>34</v>
      </c>
      <c r="D37" s="19"/>
    </row>
    <row r="38" spans="3:6" x14ac:dyDescent="0.25">
      <c r="C38" s="1" t="s">
        <v>0</v>
      </c>
    </row>
    <row r="39" spans="3:6" x14ac:dyDescent="0.25">
      <c r="C39" s="7"/>
      <c r="D39" s="7" t="s">
        <v>0</v>
      </c>
      <c r="E39" s="7"/>
      <c r="F39" s="7"/>
    </row>
    <row r="40" spans="3:6" x14ac:dyDescent="0.25">
      <c r="C40" s="7" t="s">
        <v>52</v>
      </c>
      <c r="D40" s="7">
        <f>IF(AND(D33&gt;=29,D33&lt;=30),28.5+1.75,IF(AND(D33&gt;=35,D33&lt;=36),34.5+1.75,IF(AND(D33&gt;=38,D33&lt;=39),36.5+1.75,IF(AND(D33&gt;=53,D33&lt;=54),51.5+1.75,"NA"))))</f>
        <v>53.25</v>
      </c>
      <c r="E40" s="7" t="s">
        <v>5</v>
      </c>
      <c r="F40" s="7"/>
    </row>
    <row r="41" spans="3:6" x14ac:dyDescent="0.25">
      <c r="C41" s="7" t="s">
        <v>53</v>
      </c>
      <c r="D41" s="7">
        <f>IF(AND(D34&lt;=76),73+1.75,IF(AND(D34&lt;=80),78.5+1.75,"NA"))</f>
        <v>80.25</v>
      </c>
      <c r="E41" s="7" t="s">
        <v>5</v>
      </c>
      <c r="F41" s="7"/>
    </row>
    <row r="42" spans="3:6" x14ac:dyDescent="0.25">
      <c r="C42" s="7" t="s">
        <v>50</v>
      </c>
      <c r="D42" s="7">
        <f>IF(F11=1,5.25+0.5+0.25+F20*2+1,IF(F11=2,5.25+0.25+F20*2+1,IF(AND(F11=3,F21=1),5.25+0.25+1+1.25,IF(AND(F11=3,F21=2),5.25+0.25+1+1.5,IF(AND(F11=3,F21=3),5.25+0.25+1+1.75,"NA")))))</f>
        <v>10.5</v>
      </c>
      <c r="E42" s="7" t="s">
        <v>5</v>
      </c>
      <c r="F42" s="7"/>
    </row>
    <row r="43" spans="3:6" x14ac:dyDescent="0.25">
      <c r="C43" s="7" t="s">
        <v>51</v>
      </c>
      <c r="D43" s="7">
        <f>IF(AND($D$33&gt;=29,$D$33&lt;=30,$D$34&lt;=76),203,IF(AND($D$33&gt;=35,$D$33&lt;=36,$D$34&lt;=76),215,IF(AND($D$33&gt;=35,$D$33&lt;=36,$D$34&lt;=80),225,IF(AND($D$33&gt;=38,$D$33&lt;=39,$D$34&lt;=76),219,IF(AND($D$33&gt;=38,$D$33&lt;=39,$D$34&lt;=80),229,IF(AND($D$33&gt;=53,$D$33&lt;=54,$D$34&lt;=76),249,IF(AND($D$33&gt;=53,$D$33&lt;=54,$D$34&lt;=80),259,"NA")))))))</f>
        <v>259</v>
      </c>
      <c r="E43" s="7" t="s">
        <v>5</v>
      </c>
      <c r="F43" s="7"/>
    </row>
    <row r="44" spans="3:6" x14ac:dyDescent="0.25">
      <c r="C44" s="7" t="s">
        <v>58</v>
      </c>
      <c r="D44" s="7">
        <f>IF(AND($D$33&gt;=29,$D$33&lt;=30,$D$34&lt;=76),215,IF(AND($D$33&gt;=35,$D$33&lt;=36,$D$34&lt;=76),227,IF(AND($D$33&gt;=35,$D$33&lt;=36,$D$34&lt;=80),237,IF(AND($D$33&gt;=38,$D$33&lt;=39,$D$34&lt;=76),231,IF(AND($D$33&gt;=38,$D$33&lt;=39,$D$34&lt;=80),241,IF(AND($D$33&gt;=53,$D$33&lt;=54,$D$34&lt;=76),261,IF(AND($D$33&gt;=53,271,$D$33&lt;=54,$D$34&lt;=80),259,"NA")))))))</f>
        <v>259</v>
      </c>
      <c r="E44" s="7" t="s">
        <v>5</v>
      </c>
      <c r="F44" s="7"/>
    </row>
    <row r="45" spans="3:6" x14ac:dyDescent="0.25">
      <c r="C45" s="7" t="s">
        <v>60</v>
      </c>
      <c r="D45" s="11">
        <f>((D44*5.5)/1296)*0.169672</f>
        <v>0.18649518827160494</v>
      </c>
      <c r="E45" s="7" t="s">
        <v>8</v>
      </c>
      <c r="F45" s="7"/>
    </row>
    <row r="46" spans="3:6" x14ac:dyDescent="0.25">
      <c r="C46" s="7" t="s">
        <v>62</v>
      </c>
      <c r="D46" s="7">
        <f>IF(AND($D$33&gt;=29,$D$33&lt;=30,$D$34&lt;=76),215,IF(AND($D$33&gt;=35,$D$33&lt;=36,$D$34&lt;=76),227,IF(AND($D$33&gt;=35,$D$33&lt;=36,$D$34&lt;=80),237,IF(AND($D$33&gt;=38,$D$33&lt;=39,$D$34&lt;=76),231,IF(AND($D$33&gt;=38,$D$33&lt;=39,$D$34&lt;=80),241,IF(AND($D$33&gt;=53,$D$33&lt;=54,$D$34&lt;=76),261,IF(AND($D$33&gt;=53,271,$D$33&lt;=54,$D$34&lt;=80),259,"NA")))))))</f>
        <v>259</v>
      </c>
      <c r="E46" s="7" t="s">
        <v>2</v>
      </c>
      <c r="F46" s="7"/>
    </row>
    <row r="47" spans="3:6" x14ac:dyDescent="0.25">
      <c r="C47" s="7" t="s">
        <v>61</v>
      </c>
      <c r="D47" s="11">
        <f>D46*0.000220919</f>
        <v>5.7218021000000001E-2</v>
      </c>
      <c r="E47" s="7" t="s">
        <v>8</v>
      </c>
      <c r="F47" s="7"/>
    </row>
    <row r="48" spans="3:6" x14ac:dyDescent="0.25">
      <c r="C48" s="7" t="s">
        <v>7</v>
      </c>
      <c r="D48" s="11">
        <f>((D42*D43)+((D40*D41)*2))/1296</f>
        <v>8.6929976851851851</v>
      </c>
      <c r="E48" s="7" t="s">
        <v>6</v>
      </c>
      <c r="F48" s="7"/>
    </row>
    <row r="49" spans="3:8" x14ac:dyDescent="0.25">
      <c r="C49" s="7" t="s">
        <v>10</v>
      </c>
      <c r="D49" s="11">
        <f>IF(F25=1,((D48*283.5)/453.6),IF(F25=2,((D48*121.91)/453.6),IF(F25=3,((D48*102.06)/453.6),"NA")))</f>
        <v>2.336338950178408</v>
      </c>
      <c r="E49" s="7" t="s">
        <v>8</v>
      </c>
      <c r="F49" s="7"/>
    </row>
    <row r="50" spans="3:8" x14ac:dyDescent="0.25">
      <c r="C50" s="7" t="s">
        <v>56</v>
      </c>
      <c r="D50" s="11">
        <f>IF(AND(F11=2,D33&lt;=30),((((D34/74)*90*22.5)/1296)*0.225),IF(AND(F11=2,D33&lt;=36),((((D34/74)*100*22.5)/1296)*0.225),IF(AND(F11=2,D33&lt;=44),((((D34/74)*90*35)/1296)*0.425),IF(AND(F11=2,D33&lt;=60),((((D34/74)*90*45)/1296)*0.53125),0))))</f>
        <v>1.7947635135135136</v>
      </c>
      <c r="E50" s="7" t="s">
        <v>8</v>
      </c>
      <c r="F50" s="7"/>
    </row>
    <row r="51" spans="3:8" x14ac:dyDescent="0.25">
      <c r="C51" s="7" t="s">
        <v>63</v>
      </c>
      <c r="D51" s="11">
        <f>IF(AND($F$11=1,$D$33&gt;=29,$D$33&lt;=30,$D$34&lt;=76),(3645/1296)*0.5625*2,IF(AND($F$11=1,$D$33&gt;=35,$D$33&lt;=36,$D$34&lt;=76),(3645/1296)*0.5625*2,IF(AND($F$11=1,$D$33&gt;=36,$D$33&lt;=36,$D$34&lt;=80),(3870/1296)*0.5625*2,IF(AND($F$11=1,$D$33&gt;=38,$D$33&lt;=39,$D$34&lt;=76),(3645/1296)*0.5625*2,IF(AND($F$11=1,$D$33&gt;=38,$D$33&lt;=39,$D$34&lt;=80),(3870/1296)*0.5625*2,IF(AND($F$11=1,$D$33&gt;=53,$D$33&lt;=54,$D$34&lt;=76),(4698/144)*0.0625*2,IF(AND(F11=1,$D$33&gt;=53,$D$33&lt;=54,$D$34&lt;=80),(4988/144)*0.0625*2,0)))))))</f>
        <v>0</v>
      </c>
      <c r="E51" s="7" t="s">
        <v>8</v>
      </c>
      <c r="F51" s="7"/>
    </row>
    <row r="52" spans="3:8" hidden="1" x14ac:dyDescent="0.25">
      <c r="C52" s="7" t="s">
        <v>69</v>
      </c>
      <c r="D52" s="7" t="str">
        <f>IF(AND($F$11&gt;=1,$F$11&lt;=2,$F$15=1,$D$33&gt;=29,$D$33&lt;=30,$D$34&lt;=76),((2725.5*$F$20)/1728)*1*2,IF(AND($F$11&gt;=1,$F$11&lt;=2,$F$15=1,$D$33&gt;=35,$D$33&lt;=36,$D$34&lt;=76),((3219.8*$F$20)/1728)*1*2,IF(AND($F$11&gt;=1,$F$11&lt;=2,$F$15=1,$D$33&gt;=36,$D$33&lt;=36,$D$34&lt;=80),((3422.3*$F$20)/1728)*1*2,IF(AND($F$11&gt;=1,$F$11&lt;=2,$F$15=1,$D$33&gt;=38,$D$33&lt;=39,$D$34&lt;=76),((3378.8*$F$20)/1728)*1*2,IF(AND($F$11&gt;=1,$F$11&lt;=2,$F$15=1,$D$33&gt;=38,$D$33&lt;=39,$D$34&lt;=80),((3402*$F$20)/1728)*1*2,IF(AND($F$11&gt;=1,$F$11&lt;=2,$F$15=1,$D$33&gt;=53,$D$33&lt;=54,$D$34&lt;=76),((4571.3*$F$20)/1728)*1*2,IF(AND($F$11&gt;=1,$F$11&lt;=2,$F$15=1,$D$33&gt;=53,$D$33&lt;=54,$D$34&lt;=80),((4830*$F$20)/1728)*1*2,"NA")))))))</f>
        <v>NA</v>
      </c>
      <c r="E52" s="7" t="s">
        <v>8</v>
      </c>
      <c r="F52" s="7"/>
    </row>
    <row r="53" spans="3:8" hidden="1" x14ac:dyDescent="0.25">
      <c r="C53" s="7" t="s">
        <v>70</v>
      </c>
      <c r="D53" s="7" t="str">
        <f>IF(AND($F$11&gt;=1,$F$11&lt;=2,$F$15=2,$D$33&gt;=29,$D$33&lt;=30,$D$34&lt;=76),((2725.5*$F$20)/1728)*1.2*2,IF(AND($F$11&gt;=1,$F$11&lt;=2,$F$15=2,$D$33&gt;=35,$D$33&lt;=36,$D$34&lt;=76),((3219.8*$F$20)/1728)*1.2*2,IF(AND($F$11&gt;=1,$F$11&lt;=2,$F$15=2,$D$33&gt;=36,$D$33&lt;=36,$D$34&lt;=80),((3422.3*$F$20)/1728)*1.2*2,IF(AND($F$11&gt;=1,$F$11&lt;=2,$F$15=2,$D$33&gt;=38,$D$33&lt;=39,$D$34&lt;=76),((3378.8*$F$20)/1728)*1.2*2,IF(AND($F$11&gt;=1,$F$11&lt;=2,$F$15=2,$D$33&gt;=38,$D$33&lt;=39,$D$34&lt;=80),((3402*$F$20)/1728)*1.2*2,IF(AND($F$11&gt;=1,$F$11&lt;=2,$F$15=2,$D$33&gt;=53,$D$33&lt;=54,$D$34&lt;=76),((4571.3*$F$20)/1728)*1.2*2,IF(AND($F$11&gt;=1,$F$11&lt;=2,$F$15=2,$D$33&gt;=53,$D$33&lt;=54,$D$34&lt;=80),((4830*$F$20)/1728)*1.2*2,"NA")))))))</f>
        <v>NA</v>
      </c>
      <c r="E53" s="7" t="s">
        <v>8</v>
      </c>
      <c r="F53" s="7"/>
    </row>
    <row r="54" spans="3:8" hidden="1" x14ac:dyDescent="0.25">
      <c r="C54" s="7" t="s">
        <v>75</v>
      </c>
      <c r="D54" s="7">
        <f>IF(AND(F11&gt;=1,F11&lt;=2,F15=3,$D$33&gt;=29,$D$33&lt;=30,$D$34&lt;=76),((2725.5*$F$20)/1728)*1.5*2,IF(AND($F$11&gt;=1,$F$11&lt;=2,$F$15=3,$D$33&gt;=35,$D$33&lt;=36,$D$34&lt;=76),((3219.8*$F$20)/1728)*1.5*2,IF(AND($F$11&gt;=1,$F$11&lt;=2,$F$15=3,$D$33&gt;=36,$D$33&lt;=36,$D$34&lt;=80),((3422.3*$F$20)/1728)*1.5*2,IF(AND($F$11&gt;=1,$F$11&lt;=2,$F$15=3,$D$33&gt;=38,$D$33&lt;=39,$D$34&lt;=76),((3378.8*$F$20)/1728)*1.5*2,IF(AND($F$11&gt;=1,$F$11&lt;=2,$F$15=3,$D$33&gt;=38,$D$33&lt;=39,$D$34&lt;=80),((3402*$F$20)/1728)*1.5*2,IF(AND($F$11&gt;=1,$F$11&lt;=2,$F$15=3,$D$33&gt;=53,$D$33&lt;=54,$D$34&lt;=76),((4571.3*$F$20)/1728)*1.5*2,IF(AND($F$11&gt;=1,$F$11&lt;=2,$F$15=3,$D$33&gt;=53,$D$33&lt;=54,$D$34&lt;=80),((4830*$F$20)/1728)*1.5*2,"NA")))))))</f>
        <v>16.770833333333332</v>
      </c>
      <c r="E54" s="7" t="s">
        <v>8</v>
      </c>
      <c r="F54" s="7"/>
    </row>
    <row r="55" spans="3:8" hidden="1" x14ac:dyDescent="0.25">
      <c r="C55" s="7" t="s">
        <v>71</v>
      </c>
      <c r="D55" s="7" t="str">
        <f>IF(AND($F$11&gt;=1,$F$11&lt;=2,$F$15=4,$D$33&gt;=29,$D$33&lt;=30,$D$34&lt;=76),((2725.5*$F$20)/1728)*1.8*2,IF(AND($F$11&gt;=1,$F$11&lt;=2,$F$15=4,$D$33&gt;=35,$D$33&lt;=36,$D$34&lt;=76),((3219.8*$F$20)/1728)*1.8*2,IF(AND($F$11&gt;=1,$F$11&lt;=2,$F$15=4,$D$33&gt;=36,$D$33&lt;=36,$D$34&lt;=80),((3422.3*$F$20)/1728)*1.8*2,IF(AND($F$11&gt;=1,$F$11&lt;=2,$F$15=4,$D$33&gt;=38,$D$33&lt;=39,$D$34&lt;=76),((3378.8*$F$20)/1728)*1.8*2,IF(AND($F$11&gt;=1,$F$11&lt;=2,$F$15=4,$D$33&gt;=38,$D$33&lt;=39,$D$34&lt;=80),((3402*$F$20)/1728)*1.8*2,IF(AND($F$11&gt;=1,$F$11&lt;=2,$F$15=4,$D$33&gt;=53,$D$33&lt;=54,$D$34&lt;=76),((4571.3*$F$20)/1728)*1.8*2,IF(AND($F$11&gt;=1,$F$11&lt;=2,$F$15=4,$D$33&gt;=53,$D$33&lt;=54,$D$34&lt;=80),((4830*$F$20)/1728)*1.8*2,"NA")))))))</f>
        <v>NA</v>
      </c>
      <c r="E55" s="7" t="s">
        <v>8</v>
      </c>
      <c r="F55" s="7"/>
    </row>
    <row r="56" spans="3:8" x14ac:dyDescent="0.25">
      <c r="C56" s="7" t="s">
        <v>57</v>
      </c>
      <c r="D56" s="11">
        <f>IF(AND(F11&gt;=1,F11&lt;=2,F15=1),D52,IF(AND(F11&gt;=1,F11&lt;=2,F15=2),D53,IF(AND(F11&gt;=1,F11&lt;=2,F15=3),D54,IF(AND(F11&gt;=1,F11&lt;=2,F15=4),D55,0))))</f>
        <v>16.770833333333332</v>
      </c>
      <c r="E56" s="7" t="s">
        <v>8</v>
      </c>
      <c r="F56" s="7"/>
    </row>
    <row r="57" spans="3:8" x14ac:dyDescent="0.25">
      <c r="C57" s="7" t="s">
        <v>59</v>
      </c>
      <c r="D57" s="11">
        <f>IF(AND(F11=3,D33&lt;=39,F21=1),8,IF(AND(F11=3,D33&lt;=39,F21=2),16,IF(AND(F11=3,D33&lt;=39,F21=3),24,IF(AND(F11=3,D33&lt;=54,F21=1),12,IF(AND(F11=3,D33&lt;=54,F21=2),24,IF(AND(F11=3,D33&lt;=54,F21=3),36,0))))))</f>
        <v>0</v>
      </c>
      <c r="E57" s="7" t="s">
        <v>8</v>
      </c>
      <c r="F57" s="7"/>
    </row>
    <row r="58" spans="3:8" x14ac:dyDescent="0.25">
      <c r="C58" s="7" t="s">
        <v>64</v>
      </c>
      <c r="D58" s="11">
        <f>IF(AND($D$33&gt;=29,$D$33&lt;=30,$D$34&lt;=76),((32.5*78)/144)*(2/16)*2,IF(AND($D$33&gt;=35,$D$33&lt;=36,$D$34&lt;=76),((38.5*78)/144)*(2/16)*2,IF(AND($D$33&gt;=35,$D$33&lt;=36,$D$34&lt;=80),((38.5*82)/144)*(2/16)*2,IF(AND($D$33&gt;=38,$D$33&lt;=39,$D$34&lt;=76),((40.5*78)/144)*(2/16)*2,IF(AND($D$33&gt;=38,$D$33&lt;=39,$D$34&lt;=80),((40.5*82)/144)*(2/16)*2,IF(AND($D$33&gt;=53,$D$33&lt;=54,$D$34&lt;=76),((55.5*78)/144)*(2/16)*2,IF(AND($D$33&gt;=53,$D$33&lt;=54,$D$34&lt;=80),((55.5*82)/144)*(2/16)*2,"NA")))))))</f>
        <v>7.901041666666667</v>
      </c>
      <c r="E58" s="7" t="s">
        <v>8</v>
      </c>
      <c r="F58" s="7"/>
    </row>
    <row r="59" spans="3:8" x14ac:dyDescent="0.25">
      <c r="C59" s="7" t="s">
        <v>55</v>
      </c>
      <c r="D59" s="7">
        <f>IF(AND(D33&gt;=29,D33&lt;=30,D34&lt;=76),18,IF(AND(D33&gt;=35,D33&lt;=36,D34&lt;=76),22,IF(AND(D33&gt;=35,D33&lt;=36,D34&lt;=80),23,IF(AND(D33&gt;=38,D33&lt;=39,D34&lt;=76),23,IF(AND(D33=38,D34&lt;=80),25,IF(AND(D33&gt;=53,D33&lt;=54,D34&lt;=76),32,IF(AND(D33&gt;=53,D33&lt;=54,D34&lt;=80),34,"NA")))))))</f>
        <v>34</v>
      </c>
      <c r="E59" s="7" t="s">
        <v>8</v>
      </c>
      <c r="F59" s="7"/>
    </row>
    <row r="60" spans="3:8" x14ac:dyDescent="0.25">
      <c r="C60" s="7" t="s">
        <v>24</v>
      </c>
      <c r="D60" s="1">
        <f>IF(AND(D33&lt;=30,D35&lt;=3),4,IF(AND(D33&lt;=30,D35&lt;=5),3,IF(AND(D33&lt;=36,D35&lt;=3),3,IF(AND(D33&lt;=36,D35&lt;=5),2,IF(AND(D33&lt;=38,D35&lt;=3),2,IF(AND(D33&lt;=38,D35&lt;=4),2,IF(AND(D33&lt;=54,D35&lt;=10),1,"Special Case Check with Delbert")))))))</f>
        <v>1</v>
      </c>
      <c r="E60" s="7"/>
      <c r="F60" s="7"/>
    </row>
    <row r="61" spans="3:8" x14ac:dyDescent="0.25">
      <c r="C61" s="7" t="s">
        <v>27</v>
      </c>
      <c r="D61" s="20">
        <f>IF(AND(F29=1,D60&gt;=1),F30/D60,"0")</f>
        <v>1.3560000000000001</v>
      </c>
      <c r="E61" s="7" t="s">
        <v>8</v>
      </c>
      <c r="F61" s="7"/>
    </row>
    <row r="62" spans="3:8" x14ac:dyDescent="0.25">
      <c r="C62" s="7" t="s">
        <v>0</v>
      </c>
      <c r="D62" s="7"/>
      <c r="E62" s="7"/>
      <c r="F62" s="7"/>
    </row>
    <row r="63" spans="3:8" x14ac:dyDescent="0.25">
      <c r="C63" s="7" t="s">
        <v>15</v>
      </c>
      <c r="D63" s="21">
        <f>D45+D47+D49+D50+D51+D56+D57+D58+D59+D61</f>
        <v>64.402690672963516</v>
      </c>
      <c r="E63" s="18" t="s">
        <v>8</v>
      </c>
      <c r="F63" s="7" t="s">
        <v>26</v>
      </c>
      <c r="G63" s="1">
        <f>D60</f>
        <v>1</v>
      </c>
      <c r="H63" s="1" t="s">
        <v>25</v>
      </c>
    </row>
    <row r="64" spans="3:8" x14ac:dyDescent="0.25">
      <c r="C64" s="7" t="s">
        <v>14</v>
      </c>
      <c r="D64" s="21">
        <f>((D33*D34*D35)/1728)</f>
        <v>24.537037037037038</v>
      </c>
      <c r="E64" s="18" t="s">
        <v>18</v>
      </c>
      <c r="F64" s="7"/>
    </row>
    <row r="65" spans="3:9" x14ac:dyDescent="0.25">
      <c r="D65" s="22"/>
    </row>
    <row r="66" spans="3:9" x14ac:dyDescent="0.25">
      <c r="C66" s="7" t="s">
        <v>16</v>
      </c>
      <c r="D66" s="21">
        <f>D63*F7</f>
        <v>64.402690672963516</v>
      </c>
      <c r="E66" s="18" t="s">
        <v>8</v>
      </c>
      <c r="F66" s="18"/>
      <c r="G66" s="18"/>
      <c r="H66" s="18"/>
      <c r="I66" s="18"/>
    </row>
    <row r="67" spans="3:9" x14ac:dyDescent="0.25">
      <c r="C67" s="7" t="s">
        <v>23</v>
      </c>
      <c r="D67" s="21">
        <f>D64*F7</f>
        <v>24.537037037037038</v>
      </c>
      <c r="E67" s="18" t="s">
        <v>18</v>
      </c>
      <c r="F67" s="18"/>
      <c r="G67" s="18"/>
      <c r="H67" s="18"/>
      <c r="I67" s="18"/>
    </row>
    <row r="68" spans="3:9" x14ac:dyDescent="0.25">
      <c r="C68" s="7" t="s">
        <v>17</v>
      </c>
      <c r="D68" s="23" t="str">
        <f>IF(D67&lt;=750,"LTL","Exceeds Cube Volume Split Ship or Consider Truck Load")</f>
        <v>LTL</v>
      </c>
      <c r="E68" s="24"/>
      <c r="F68" s="24"/>
      <c r="G68" s="24"/>
      <c r="H68" s="24"/>
      <c r="I68" s="25"/>
    </row>
    <row r="69" spans="3:9" x14ac:dyDescent="0.25">
      <c r="C69" s="7" t="s">
        <v>20</v>
      </c>
      <c r="D69" s="21">
        <f>D67/72</f>
        <v>0.34079218106995884</v>
      </c>
      <c r="E69" s="18" t="s">
        <v>21</v>
      </c>
      <c r="F69" s="18"/>
      <c r="G69" s="18"/>
      <c r="H69" s="18"/>
      <c r="I69" s="18"/>
    </row>
    <row r="70" spans="3:9" x14ac:dyDescent="0.25">
      <c r="D70" s="22"/>
    </row>
    <row r="71" spans="3:9" x14ac:dyDescent="0.25">
      <c r="C71" s="1" t="s">
        <v>19</v>
      </c>
    </row>
    <row r="72" spans="3:9" x14ac:dyDescent="0.25">
      <c r="C72" s="1" t="s">
        <v>73</v>
      </c>
    </row>
    <row r="73" spans="3:9" x14ac:dyDescent="0.25">
      <c r="C73" s="1" t="s">
        <v>77</v>
      </c>
    </row>
    <row r="75" spans="3:9" x14ac:dyDescent="0.25">
      <c r="C75" s="1" t="s">
        <v>72</v>
      </c>
    </row>
  </sheetData>
  <sheetProtection password="C6B8" sheet="1" objects="1" scenarios="1" selectLockedCells="1"/>
  <phoneticPr fontId="1" type="noConversion"/>
  <pageMargins left="0.75" right="0.75" top="1" bottom="1" header="0.5" footer="0.5"/>
  <pageSetup scale="6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Don Reynolds</cp:lastModifiedBy>
  <cp:lastPrinted>2025-01-27T20:59:35Z</cp:lastPrinted>
  <dcterms:created xsi:type="dcterms:W3CDTF">2008-03-05T19:23:53Z</dcterms:created>
  <dcterms:modified xsi:type="dcterms:W3CDTF">2026-01-13T14:45:37Z</dcterms:modified>
</cp:coreProperties>
</file>