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roach Comparison" sheetId="1" r:id="rId5"/>
    <sheet state="visible" name="Topdown Scoping Estimate" sheetId="2" r:id="rId6"/>
    <sheet state="visible" name="Topdown CRM-First Scope" sheetId="3" r:id="rId7"/>
  </sheets>
  <definedNames/>
  <calcPr/>
</workbook>
</file>

<file path=xl/sharedStrings.xml><?xml version="1.0" encoding="utf-8"?>
<sst xmlns="http://schemas.openxmlformats.org/spreadsheetml/2006/main" count="254" uniqueCount="209">
  <si>
    <t>TOPDOWN AUTO: Approach Comparison</t>
  </si>
  <si>
    <t>Option A: Concurrent (Single SOW)</t>
  </si>
  <si>
    <t>Option B: CRM-First (Two SOWs)</t>
  </si>
  <si>
    <t>Est. Hours</t>
  </si>
  <si>
    <t>~138 hrs (single engagement)</t>
  </si>
  <si>
    <t>Phase 1: ~112 hrs | Phase 2: ~50 hrs | Combined: ~162 hrs</t>
  </si>
  <si>
    <t>Scope</t>
  </si>
  <si>
    <t>CRM build + NetSuite live integration + phone CRM setup, all in one SOW</t>
  </si>
  <si>
    <t>Phase 1: Full CRM + integration-ready architecture. Phase 2 (separate SOW): NetSuite live sync + advanced reporting</t>
  </si>
  <si>
    <t>ERP Dependency</t>
  </si>
  <si>
    <t>HIGH — Timeline dependent on Alexis/IT delivering clean data on consultant schedule</t>
  </si>
  <si>
    <t>NONE in Phase 1 — CRM ships regardless. Phase 2 triggers when ERP data meets quality bar</t>
  </si>
  <si>
    <t>Time to CRM Go-Live</t>
  </si>
  <si>
    <t>Slower — blocked by ERP data readiness before CRM can fully launch</t>
  </si>
  <si>
    <t>Faster — CRM live in 8-10 weeks with zero blockers</t>
  </si>
  <si>
    <t>Client Cost Risk</t>
  </si>
  <si>
    <t>Pays for hours that may idle if ERP stalls. Single large commitment upfront</t>
  </si>
  <si>
    <t>Pays only for CRM now. Phase 2 spend deferred until ERP ready. Smaller initial commitment</t>
  </si>
  <si>
    <t>Consultant Scope Risk</t>
  </si>
  <si>
    <t>Change orders likely if ERP delays &gt;2 weeks. SOW should include change order clause</t>
  </si>
  <si>
    <t>Clean Phase 1 scope. Phase 2 is a new engagement with its own estimate</t>
  </si>
  <si>
    <t>Integration Quality</t>
  </si>
  <si>
    <t>Built under time pressure alongside CRM. Risk of building on incomplete/dirty data</t>
  </si>
  <si>
    <t>Phase 1 builds integration-ready architecture (field naming, external IDs, mapping spec). Phase 2 integration built on clean data = better outcome</t>
  </si>
  <si>
    <t>Revenue Structure</t>
  </si>
  <si>
    <t>One larger SOW. All revenue recognized in single engagement</t>
  </si>
  <si>
    <t>Two SOWs. Phase 1 revenue immediate; Phase 2 creates follow-on engagement</t>
  </si>
  <si>
    <t>Key Dependency</t>
  </si>
  <si>
    <t>Alexis (internal IT dev) availability for scoping calls + API access</t>
  </si>
  <si>
    <t>Client preps data to consultant template (CSV export). No API or IT dependency in Phase 1</t>
  </si>
  <si>
    <t>Best For</t>
  </si>
  <si>
    <t>Client whose ERP data is close to clean and IT has committed bandwidth in next 4-6 weeks</t>
  </si>
  <si>
    <t>Client whose ERP cleanup is still in progress, IT bandwidth uncertain, or $25K export fee unresolved</t>
  </si>
  <si>
    <t>RECOMMENDATION</t>
  </si>
  <si>
    <t>CRM-First (Option B) is the lower-risk path given Topdown's current ERP state. The $25K Intuitive export fee is unresolved, product catalog is partially digitized, and Alexis's bandwidth is uncommitted. Option B gets Stephanie's team on a live CRM faster, builds integration-ready architecture so Phase 2 plugs in cleanly, and protects the SOW from ERP delays outside the consultant's control. Concurrent (Option A) is viable if Cameron has confirmation that NetSuite data will be clean and Alexis available within 4 weeks of kickoff.</t>
  </si>
  <si>
    <t>SHARED ACROSS BOTH OPTIONS</t>
  </si>
  <si>
    <t>HubSpot Tier</t>
  </si>
  <si>
    <t>Sales Hub Professional ($90/user/mo). Service Hub Starter optional ($20/user/mo).</t>
  </si>
  <si>
    <t>Email Marketing</t>
  </si>
  <si>
    <t>Keep Klaviyo (~$200-300/mo). HubSpot Marketing Pro at $890/mo + $3K onboarding not cost-justified at current usage.</t>
  </si>
  <si>
    <t>Phone System</t>
  </si>
  <si>
    <t>Crew Six Foresters selects vendor. Consultant owns CRM-side integration (call logging, activity types, outcome tracking).</t>
  </si>
  <si>
    <t>Data Migration</t>
  </si>
  <si>
    <t>Client responsible for data prep to consultant-provided template. Migration from NetSuite only; Intuitive ERP + Atlas deferred.</t>
  </si>
  <si>
    <t>Outstanding Items</t>
  </si>
  <si>
    <t>Need from Cameron/Stephanie: confirmed brand count, total CRM user headcount, approximate record volume (contacts/companies/deals).</t>
  </si>
  <si>
    <t>Key Assumptions</t>
  </si>
  <si>
    <t xml:space="preserve">  HubSpot Sales Hub Professional ($90/user/mo for sales seats)</t>
  </si>
  <si>
    <t xml:space="preserve">  Concurrent CRM build + NetSuite integration (ERP dependency accepted)</t>
  </si>
  <si>
    <t xml:space="preserve">  Klaviyo remains for email marketing; HubSpot provides segmentation properties</t>
  </si>
  <si>
    <t xml:space="preserve">  Phone vendor selected by Crew Six Foresters; consultant owns CRM-side integration</t>
  </si>
  <si>
    <t xml:space="preserve">  4 brands: Robbins, GA, Easy On, Caltrend (confirm with Cameron)</t>
  </si>
  <si>
    <t xml:space="preserve">  11+ CRM users: 9 CSRs + Stephanie + Sales Manager (confirm headcount)</t>
  </si>
  <si>
    <t xml:space="preserve">  Data migration from NetSuite only (Intuitive ERP + Atlas deferred)</t>
  </si>
  <si>
    <t xml:space="preserve">  Client responsible for data cleanup to consultant-provided template</t>
  </si>
  <si>
    <t xml:space="preserve">  Client IT (Alexis) provides API access and ERP scoping support on agreed schedule</t>
  </si>
  <si>
    <t xml:space="preserve">  Up to 25 custom contact/company properties per object</t>
  </si>
  <si>
    <t xml:space="preserve">  Up to 30 custom deal properties across all pipelines</t>
  </si>
  <si>
    <t xml:space="preserve">  3-4 sales pipelines (interiors, convertible tops, seat covers, general)</t>
  </si>
  <si>
    <t xml:space="preserve">  Timeline assumes client-side dependencies met within 1 week of request</t>
  </si>
  <si>
    <t xml:space="preserve">  SOW includes change order clause for ERP delays exceeding 2 weeks</t>
  </si>
  <si>
    <t>Workstream</t>
  </si>
  <si>
    <t>Min (hrs)</t>
  </si>
  <si>
    <t>Max (hrs)</t>
  </si>
  <si>
    <t>Notes / Risk Flags</t>
  </si>
  <si>
    <t>WS1: CRM Foundation &amp; Multi-Brand Setup</t>
  </si>
  <si>
    <t>HubSpot Sales Pro config. 4 brands (Robbins, GA, Easy On, Caltrend). Contact/company properties, brand tagging, subsidiary structure mapping, association labels.</t>
  </si>
  <si>
    <t>WS2: Inside Sales Pipeline Design</t>
  </si>
  <si>
    <t>RISK: 3-4 product-specific pipelines (interiors, convertible tops, seat covers + general). Interiors has unique swatch-matching stages with 4-6 wk cycles. Stage criteria TBD per pipeline in discovery with sales manager.</t>
  </si>
  <si>
    <t>WS3: Data Migration from NetSuite</t>
  </si>
  <si>
    <t>HIGH RISK: Contacts, companies, historical deals from NetSuite. Dedup across 4 brand subsidiaries. Volume TBD — need record count from Stephanie. Client responsible for data prep; consultant provides template. Cap at defined record count in SOW.</t>
  </si>
  <si>
    <t>WS4: NetSuite ↔ HubSpot Integration</t>
  </si>
  <si>
    <t>HIGH RISK — ERP DEPENDENCY: Concurrent with CRM build. Requires clean NetSuite data (product SKUs, customer records, order history). Dependent on Alexis/IT velocity. Includes: integration scoping with ERP team, contact/company sync design, deal sync from orders, product data mapping. If ERP data not ready, this workstream stalls.</t>
  </si>
  <si>
    <t>WS5: Phone System CRM Integration</t>
  </si>
  <si>
    <t>RISK: Crew Six selects vendor; consultant owns CRM-side config. Call logging properties, activity types, call outcome tracking, integration setup &amp; testing. Dependent on Crew Six vendor timeline.</t>
  </si>
  <si>
    <t>WS6: Segmentation &amp; Klaviyo-Supporting Properties</t>
  </si>
  <si>
    <t>Custom company properties for customer type (resto shop, Corvette specialist, etc.), brand affinity, product interest. Build views for cross-selling. Feeds Klaviyo segmentation. Klaviyo stays — HubSpot Marketing Hub not cost-justified at current usage.</t>
  </si>
  <si>
    <t>WS7: Reporting &amp; Dashboards</t>
  </si>
  <si>
    <t>Quote tracking, win/loss analysis, closed-loss reasons, CSR activity volume, close rates by rep/product line, pipeline velocity. Some reports dependent on WS4 (NetSuite data) for fill rates, backorder, lead time metrics.</t>
  </si>
  <si>
    <t>WS8: Enablement &amp; Change Management</t>
  </si>
  <si>
    <t>RISK: 11+ users (9 CSRs + Stephanie + sales mgr). Paper-based habits to break. Sales manager (7yr tenure) is key ally. Recorded training sessions + quick-ref docs. Higher effort than typical due to team size and process change magnitude.</t>
  </si>
  <si>
    <t>WS9: PM / Discovery / Meetings / QA</t>
  </si>
  <si>
    <t>Ongoing discovery with Stephanie + sales manager + Alexis (ERP). Includes kickoff, weekly check-ins, ERP scoping calls, UAT, documentation, 1-week post-launch async support.</t>
  </si>
  <si>
    <t>TOTAL (Concurrent CRM + ERP Integration)</t>
  </si>
  <si>
    <t>Est. Hours = median of min/max per workstream</t>
  </si>
  <si>
    <t>ERP DEPENDENCY RISK REGISTER</t>
  </si>
  <si>
    <t>Risk</t>
  </si>
  <si>
    <t>Impact &amp; Mitigation</t>
  </si>
  <si>
    <t>Severity</t>
  </si>
  <si>
    <t>$25K Intuitive Export Fee Unresolved</t>
  </si>
  <si>
    <t>High</t>
  </si>
  <si>
    <t>Alexis exploring backend workaround. If blocked, historical warranty/PO data unavailable for CRM. Mitigation: Scope Phase 1 migration to NetSuite-only data; legacy Intuitive data deferred.</t>
  </si>
  <si>
    <t>NetSuite Data Quality Unknown</t>
  </si>
  <si>
    <t>Customer records across 4 subsidiaries likely duplicated. Product catalog partially digitized. No confirmed record count. Mitigation: Cap SOW at defined record volume; client owns cleanup to consultant template.</t>
  </si>
  <si>
    <t>Alexis/IT Bandwidth Not Committed</t>
  </si>
  <si>
    <t>ERP integration requires Alexis availability for scoping calls, API access, data exports. Alexis does not report to Stephanie or Cameron. Mitigation: SOW should include "client IT availability" as a dependency; missed windows = timeline slip.</t>
  </si>
  <si>
    <t>Phone Vendor Selection Timeline Unknown</t>
  </si>
  <si>
    <t>Medium</t>
  </si>
  <si>
    <t>Crew Six Foresters evaluating options. CRM phone integration work cannot start until vendor selected and provisioned. Mitigation: Build CRM call properties vendor-agnostic; finalize integration post-selection.</t>
  </si>
  <si>
    <t>Product Catalog Not Fully Digitized</t>
  </si>
  <si>
    <t>Paper catalogs from 2012 and earlier not scanned. SKU lookup tool dependent on complete product data. Mitigation: Build CRM product structure for known NetSuite SKUs; expand as catalog digitization progresses.</t>
  </si>
  <si>
    <t>Change Management — 11 Users Moving from Paper</t>
  </si>
  <si>
    <t>9 CSRs currently use paper notes, desk filing, no CRM. Adoption risk is real. Mitigation: Involve sales manager early in discovery; recorded training; phased rollout starting with 2-3 power users.</t>
  </si>
  <si>
    <t>OUT OF SCOPE</t>
  </si>
  <si>
    <t>Klaviyo → HubSpot Marketing Migration</t>
  </si>
  <si>
    <t>Klaviyo stays at ~$200-300/mo. HubSpot Marketing Pro = $890/mo + $3K onboarding. Not cost-justified. Revisit in 6-12 months.</t>
  </si>
  <si>
    <t>Phone Vendor Selection &amp; Procurement</t>
  </si>
  <si>
    <t>Crew Six Foresters owns evaluation and recommendation. Consultant builds CRM-side integration only.</t>
  </si>
  <si>
    <t>E-commerce Integration (WooCommerce/Magento)</t>
  </si>
  <si>
    <t>Platform consolidation planned 2027-2028. Not in current scope.</t>
  </si>
  <si>
    <t>Legacy ERP Full Migration (Intuitive)</t>
  </si>
  <si>
    <t>$25K export fee unresolved. Historical warranty data deferred until IT workaround confirmed.</t>
  </si>
  <si>
    <t>Product Catalog Digitization</t>
  </si>
  <si>
    <t>Paper catalog scanning — internal labor. Consultant advisory only if needed.</t>
  </si>
  <si>
    <t>Atlas → NetSuite Migration (Caltrend)</t>
  </si>
  <si>
    <t>Not started internally. Out of scope until Topdown IT progresses.</t>
  </si>
  <si>
    <t>Rate Modeling</t>
  </si>
  <si>
    <t>Hourly Rate</t>
  </si>
  <si>
    <t>Enter your rate here</t>
  </si>
  <si>
    <t>Engagement Value (Min)</t>
  </si>
  <si>
    <t>Engagement Value (Max)</t>
  </si>
  <si>
    <t>Engagement Value (Est.)</t>
  </si>
  <si>
    <t>HubSpot Tier Recommendation</t>
  </si>
  <si>
    <t>Product</t>
  </si>
  <si>
    <t>Cost</t>
  </si>
  <si>
    <t>Rationale</t>
  </si>
  <si>
    <t>Sales Hub Professional</t>
  </si>
  <si>
    <t>$90/user/mo</t>
  </si>
  <si>
    <t>Core CRM. Multiple pipelines, calculated properties, custom reporting, sequences, workflow automation. Required for this scope.</t>
  </si>
  <si>
    <t>Service Hub Starter</t>
  </si>
  <si>
    <t>$20/user/mo</t>
  </si>
  <si>
    <t>Optional. Basic ticket tracking for inbound service calls. Nice-to-have, not essential for Phase 1.</t>
  </si>
  <si>
    <t>Klaviyo (keep current)</t>
  </si>
  <si>
    <t>~$200-300/mo</t>
  </si>
  <si>
    <t>Email marketing stays on Klaviyo. HubSpot Marketing Pro ($890/mo + $3K onboarding) not justified at current usage level.</t>
  </si>
  <si>
    <t xml:space="preserve">  CRM-first approach: Phase 1 ships with zero ERP dependency</t>
  </si>
  <si>
    <t xml:space="preserve">  Phase 2 triggers when NetSuite data meets defined quality bar (separate SOW)</t>
  </si>
  <si>
    <t xml:space="preserve">  Klaviyo remains for email; HubSpot segmentation properties feed Klaviyo targeting</t>
  </si>
  <si>
    <t xml:space="preserve">  Phone vendor selected by Crew Six; consultant owns CRM-side integration</t>
  </si>
  <si>
    <t xml:space="preserve">  11+ CRM users: 9 CSRs + Stephanie + Sales Manager</t>
  </si>
  <si>
    <t xml:space="preserve">  Phase 1 data migration: one-time NetSuite CSV export (no live API)</t>
  </si>
  <si>
    <t xml:space="preserve">  Integration-ready architecture: NetSuite-aligned field naming, external ID fields, documented field mapping spec</t>
  </si>
  <si>
    <t xml:space="preserve">  Phase 2 scoping call with Alexis occurs after Phase 1 go-live</t>
  </si>
  <si>
    <t>PHASE 1: CRM-First (Integration-Ready)</t>
  </si>
  <si>
    <t>HubSpot Sales Pro config. 4 brands (Robbins, GA, Easy On, Caltrend). Contact/company properties, brand tagging, subsidiary structure mapping, association labels. Build NetSuite-aligned field naming conventions from Day 1.</t>
  </si>
  <si>
    <t>RISK: 3-4 product-specific pipelines (interiors, convertible tops, seat covers + general). Interiors has unique swatch-matching stages. Stage criteria TBD in discovery with sales manager. Pipeline architecture designed for future NetSuite deal sync.</t>
  </si>
  <si>
    <t>WS3: Data Migration (NetSuite Export Only)</t>
  </si>
  <si>
    <t>RISK: Manual export from NetSuite — contacts, companies, historical deals. Dedup across 4 subsidiaries. NO live integration; one-time import via CSV/Excel. Client preps data to consultant template. Lower risk than concurrent because no dependency on API access or Alexis bandwidth.</t>
  </si>
  <si>
    <t>WS4: Integration-Ready Architecture</t>
  </si>
  <si>
    <t>Build CRM structure that maps cleanly to NetSuite for future sync. Includes: NetSuite-aligned custom property naming, external ID fields on all objects, documented field mapping spec, API-ready association structure. This is the bridge — zero ERP dependency now, seamless integration later.</t>
  </si>
  <si>
    <t>Crew Six selects vendor; consultant owns CRM-side config. Call logging properties, activity types, call outcome tracking, integration setup &amp; testing. Build vendor-agnostic first; finalize integration post-selection.</t>
  </si>
  <si>
    <t>Custom company properties for customer type, brand affinity, product interest. Build views for cross-selling. Feeds Klaviyo segmentation. Klaviyo stays — HubSpot Marketing Hub not cost-justified.</t>
  </si>
  <si>
    <t>Quote tracking, win/loss analysis, closed-loss reasons, CSR activity volume, close rates by rep/product line, pipeline velocity. Reports built on CRM data available now. Advanced reports (fill rates, backorder, lead times) deferred to Phase 2 when NetSuite data flows live.</t>
  </si>
  <si>
    <t>RISK: 11+ users moving from paper to CRM. Sales manager (7yr tenure) key ally. Recorded training + quick-ref docs. Phased rollout: power users first, then full team.</t>
  </si>
  <si>
    <t>Discovery with Stephanie + sales manager. Kickoff, weekly check-ins, UAT, documentation, 1-week async support. Lighter PM load than concurrent — no ERP scoping calls in Phase 1.</t>
  </si>
  <si>
    <t>PHASE 1 TOTAL</t>
  </si>
  <si>
    <t>CRM live + integration-ready. No ERP dependency on timeline.</t>
  </si>
  <si>
    <t>PHASE 2: NetSuite Integration (Separate SOW — triggers when ERP data meets quality bar)</t>
  </si>
  <si>
    <t>WS-A: NetSuite ↔ HubSpot Live Integration</t>
  </si>
  <si>
    <t>PREREQUISITE: Clean NetSuite data confirmed. Contact/company bidirectional sync, deal creation from orders, product data mapping, duplicate management rules. Scoping calls with Alexis required.</t>
  </si>
  <si>
    <t>WS-B: Advanced Reporting (ERP-Dependent)</t>
  </si>
  <si>
    <t>Fill rates, backorder tracking, PO-to-ship lead times, inventory-linked metrics. Only possible once NetSuite data flows into CRM.</t>
  </si>
  <si>
    <t>WS-C: Marketing Automation Evaluation</t>
  </si>
  <si>
    <t>Evaluate Klaviyo → HubSpot migration once CRM adopted and data flowing. Only justified if email volume/complexity has grown.</t>
  </si>
  <si>
    <t>WS-D: PM / Integration QA / Enablement</t>
  </si>
  <si>
    <t>ERP scoping calls with Alexis + Ismail, integration testing, updated training for NetSuite-sourced data, documentation refresh.</t>
  </si>
  <si>
    <t>PHASE 2 TOTAL (Future SOW)</t>
  </si>
  <si>
    <t>Triggers when NetSuite data meets defined quality bar. Separate SOW.</t>
  </si>
  <si>
    <t>COMBINED TOTAL (Phase 1 + Phase 2)</t>
  </si>
  <si>
    <t>Full engagement across both phases. Phase 2 timing controlled by client ERP readiness.</t>
  </si>
  <si>
    <t>APPROACH COMPARISON: Concurrent vs. CRM-First</t>
  </si>
  <si>
    <t>Dimension</t>
  </si>
  <si>
    <t>Concurrent (Single SOW)</t>
  </si>
  <si>
    <t>CRM-First + Phase 2 (Two SOWs)</t>
  </si>
  <si>
    <t>Phase 1 Hours</t>
  </si>
  <si>
    <t>Total Hours (All Phases)</t>
  </si>
  <si>
    <t>~138 hrs (single SOW)</t>
  </si>
  <si>
    <t>ERP Dependency Risk</t>
  </si>
  <si>
    <t>HIGH — timeline hostage to Alexis/IT velocity</t>
  </si>
  <si>
    <t>LOW — CRM ships regardless of ERP progress</t>
  </si>
  <si>
    <t>Slower — blocked by ERP data readiness</t>
  </si>
  <si>
    <t>Faster — CRM live in 8-10 weeks, no blockers</t>
  </si>
  <si>
    <t>Client Risk</t>
  </si>
  <si>
    <t>Pays for hours that may idle if ERP stalls</t>
  </si>
  <si>
    <t>Pays only for CRM now; Phase 2 when ready</t>
  </si>
  <si>
    <t>Consultant Risk</t>
  </si>
  <si>
    <t>Change orders likely if ERP delays &gt;2 weeks</t>
  </si>
  <si>
    <t>Clean scope; Phase 2 is a new engagement</t>
  </si>
  <si>
    <t>NetSuite Integration Quality</t>
  </si>
  <si>
    <t>Built under time pressure alongside CRM</t>
  </si>
  <si>
    <t>Built when data is clean; better outcome</t>
  </si>
  <si>
    <t>Revenue to Consultant</t>
  </si>
  <si>
    <t>One larger SOW (~$X)</t>
  </si>
  <si>
    <t>Two SOWs (~$X total, de-risked)</t>
  </si>
  <si>
    <t>Client with ERP data ready in &lt;4 weeks</t>
  </si>
  <si>
    <t>Client with ERP cleanup still in progress</t>
  </si>
  <si>
    <t>OUT OF SCOPE (Both Phases)</t>
  </si>
  <si>
    <t>Phase 2 includes evaluation only. Migration not in scope unless justified by usage growth.</t>
  </si>
  <si>
    <t>Crew Six Foresters owns evaluation. Consultant builds CRM-side integration only.</t>
  </si>
  <si>
    <t>Platform consolidation planned 2027-2028.</t>
  </si>
  <si>
    <t>$25K export fee unresolved. Deferred until IT workaround confirmed.</t>
  </si>
  <si>
    <t>Paper catalog scanning — internal labor.</t>
  </si>
  <si>
    <t>Not started internally.</t>
  </si>
  <si>
    <t>Phase 1 Value</t>
  </si>
  <si>
    <t>Phase 2 Value</t>
  </si>
  <si>
    <t>Combined Value</t>
  </si>
  <si>
    <t>Core CRM. Multiple pipelines, calculated properties, custom reporting, sequences, workflows.</t>
  </si>
  <si>
    <t>Optional. Basic ticket tracking for inbound service calls.</t>
  </si>
  <si>
    <t>Email stays on Klaviyo. HubSpot Marketing Pro ($890/mo + $3K onboarding) not justified.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</si>
</sst>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Calibri"/>
      <scheme val="minor"/>
    </font>
    <font>
      <b/>
      <sz val="12.0"/>
      <color theme="1"/>
      <name val="Arial"/>
    </font>
    <font>
      <b/>
      <sz val="10.0"/>
      <color rgb="FFFFFFFF"/>
      <name val="Arial"/>
    </font>
    <font>
      <b/>
      <sz val="10.0"/>
      <color theme="1"/>
      <name val="Arial"/>
    </font>
    <font>
      <sz val="10.0"/>
      <color theme="1"/>
      <name val="Arial"/>
    </font>
    <font>
      <b/>
      <sz val="11.0"/>
      <color rgb="FFFFFFFF"/>
      <name val="Arial"/>
    </font>
    <font/>
    <font>
      <b/>
      <u/>
      <sz val="11.0"/>
      <color theme="1"/>
      <name val="Arial"/>
    </font>
    <font>
      <b/>
      <u/>
      <sz val="11.0"/>
      <color theme="1"/>
      <name val="Arial"/>
    </font>
    <font>
      <b/>
      <sz val="10.0"/>
      <color rgb="FFC62828"/>
      <name val="Arial"/>
    </font>
    <font>
      <b/>
      <u/>
      <sz val="11.0"/>
      <color rgb="FFC62828"/>
      <name val="Arial"/>
    </font>
    <font>
      <sz val="11.0"/>
      <color theme="1"/>
      <name val="Calibri"/>
    </font>
    <font>
      <i/>
      <sz val="10.0"/>
      <color rgb="FF666666"/>
      <name val="Arial"/>
    </font>
    <font>
      <b/>
      <sz val="12.0"/>
      <color rgb="FFFFFFFF"/>
      <name val="Arial"/>
    </font>
  </fonts>
  <fills count="19">
    <fill>
      <patternFill patternType="none"/>
    </fill>
    <fill>
      <patternFill patternType="lightGray"/>
    </fill>
    <fill>
      <patternFill patternType="solid">
        <fgColor rgb="FF1F4E79"/>
        <bgColor rgb="FF1F4E79"/>
      </patternFill>
    </fill>
    <fill>
      <patternFill patternType="solid">
        <fgColor rgb="FFF5F5F5"/>
        <bgColor rgb="FFF5F5F5"/>
      </patternFill>
    </fill>
    <fill>
      <patternFill patternType="solid">
        <fgColor rgb="FFFFF3E0"/>
        <bgColor rgb="FFFFF3E0"/>
      </patternFill>
    </fill>
    <fill>
      <patternFill patternType="solid">
        <fgColor rgb="FFE8F5E9"/>
        <bgColor rgb="FFE8F5E9"/>
      </patternFill>
    </fill>
    <fill>
      <patternFill patternType="solid">
        <fgColor rgb="FFFCE4EC"/>
        <bgColor rgb="FFFCE4EC"/>
      </patternFill>
    </fill>
    <fill>
      <patternFill patternType="solid">
        <fgColor rgb="FFC8E6C9"/>
        <bgColor rgb="FFC8E6C9"/>
      </patternFill>
    </fill>
    <fill>
      <patternFill patternType="solid">
        <fgColor rgb="FFFFF2CC"/>
        <bgColor rgb="FFFFF2CC"/>
      </patternFill>
    </fill>
    <fill>
      <patternFill patternType="solid">
        <fgColor rgb="FFC62828"/>
        <bgColor rgb="FFC62828"/>
      </patternFill>
    </fill>
    <fill>
      <patternFill patternType="solid">
        <fgColor rgb="FFF2F2F2"/>
        <bgColor rgb="FFF2F2F2"/>
      </patternFill>
    </fill>
    <fill>
      <patternFill patternType="solid">
        <fgColor rgb="FFD6E4F0"/>
        <bgColor rgb="FFD6E4F0"/>
      </patternFill>
    </fill>
    <fill>
      <patternFill patternType="solid">
        <fgColor rgb="FF2E75B6"/>
        <bgColor rgb="FF2E75B6"/>
      </patternFill>
    </fill>
    <fill>
      <patternFill patternType="solid">
        <fgColor rgb="FF5C6BC0"/>
        <bgColor rgb="FF5C6BC0"/>
      </patternFill>
    </fill>
    <fill>
      <patternFill patternType="solid">
        <fgColor rgb="FFE8EAF6"/>
        <bgColor rgb="FFE8EAF6"/>
      </patternFill>
    </fill>
    <fill>
      <patternFill patternType="solid">
        <fgColor rgb="FFC5CAE9"/>
        <bgColor rgb="FFC5CAE9"/>
      </patternFill>
    </fill>
    <fill>
      <patternFill patternType="solid">
        <fgColor rgb="FF3949AB"/>
        <bgColor rgb="FF3949AB"/>
      </patternFill>
    </fill>
    <fill>
      <patternFill patternType="solid">
        <fgColor rgb="FF0D47A1"/>
        <bgColor rgb="FF0D47A1"/>
      </patternFill>
    </fill>
    <fill>
      <patternFill patternType="solid">
        <fgColor rgb="FF37474F"/>
        <bgColor rgb="FF37474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center" shrinkToFit="0" wrapText="1"/>
    </xf>
    <xf borderId="1" fillId="3" fontId="3" numFmtId="0" xfId="0" applyAlignment="1" applyBorder="1" applyFill="1" applyFont="1">
      <alignment shrinkToFit="0" vertical="top" wrapText="1"/>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1" fillId="7" fontId="4" numFmtId="0" xfId="0" applyAlignment="1" applyBorder="1" applyFill="1" applyFont="1">
      <alignment shrinkToFit="0" vertical="top" wrapText="1"/>
    </xf>
    <xf borderId="1" fillId="2" fontId="5" numFmtId="0" xfId="0" applyBorder="1" applyFont="1"/>
    <xf borderId="2" fillId="5" fontId="4" numFmtId="0" xfId="0" applyAlignment="1" applyBorder="1" applyFont="1">
      <alignment shrinkToFit="0" wrapText="1"/>
    </xf>
    <xf borderId="3" fillId="0" fontId="6" numFmtId="0" xfId="0" applyBorder="1" applyFont="1"/>
    <xf borderId="0" fillId="0" fontId="7" numFmtId="0" xfId="0" applyFont="1"/>
    <xf borderId="1" fillId="0" fontId="3" numFmtId="0" xfId="0" applyAlignment="1" applyBorder="1" applyFont="1">
      <alignment shrinkToFit="0" vertical="top" wrapText="1"/>
    </xf>
    <xf borderId="2" fillId="0" fontId="4" numFmtId="0" xfId="0" applyAlignment="1" applyBorder="1" applyFont="1">
      <alignment shrinkToFit="0" wrapText="1"/>
    </xf>
    <xf borderId="0" fillId="0" fontId="8" numFmtId="0" xfId="0" applyAlignment="1" applyFont="1">
      <alignment shrinkToFit="0" vertical="bottom" wrapText="0"/>
    </xf>
    <xf borderId="0" fillId="0" fontId="4" numFmtId="0" xfId="0" applyAlignment="1" applyFont="1">
      <alignment shrinkToFit="0" vertical="bottom" wrapText="0"/>
    </xf>
    <xf borderId="1" fillId="2" fontId="2"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4" numFmtId="0" xfId="0" applyAlignment="1" applyBorder="1" applyFont="1">
      <alignment horizontal="center" shrinkToFit="0" vertical="bottom" wrapText="0"/>
    </xf>
    <xf borderId="1" fillId="0" fontId="3" numFmtId="0" xfId="0" applyAlignment="1" applyBorder="1" applyFont="1">
      <alignment horizontal="center" shrinkToFit="0" vertical="bottom" wrapText="0"/>
    </xf>
    <xf borderId="1" fillId="0" fontId="4" numFmtId="0" xfId="0" applyAlignment="1" applyBorder="1" applyFont="1">
      <alignment shrinkToFit="0" vertical="bottom" wrapText="1"/>
    </xf>
    <xf borderId="1" fillId="8" fontId="4" numFmtId="0" xfId="0" applyAlignment="1" applyBorder="1" applyFill="1" applyFont="1">
      <alignment shrinkToFit="0" vertical="bottom" wrapText="1"/>
    </xf>
    <xf borderId="1" fillId="0" fontId="9" numFmtId="0" xfId="0" applyAlignment="1" applyBorder="1" applyFont="1">
      <alignment shrinkToFit="0" vertical="bottom" wrapText="0"/>
    </xf>
    <xf borderId="1" fillId="6" fontId="4" numFmtId="0" xfId="0" applyAlignment="1" applyBorder="1" applyFont="1">
      <alignment shrinkToFit="0" vertical="bottom" wrapText="1"/>
    </xf>
    <xf borderId="1" fillId="2" fontId="5" numFmtId="0" xfId="0" applyAlignment="1" applyBorder="1" applyFont="1">
      <alignment shrinkToFit="0" vertical="bottom" wrapText="0"/>
    </xf>
    <xf borderId="1" fillId="2" fontId="5" numFmtId="0" xfId="0" applyAlignment="1" applyBorder="1" applyFont="1">
      <alignment horizontal="center" shrinkToFit="0" vertical="bottom" wrapText="0"/>
    </xf>
    <xf borderId="0" fillId="0" fontId="10" numFmtId="0" xfId="0" applyAlignment="1" applyFont="1">
      <alignment shrinkToFit="0" vertical="bottom" wrapText="0"/>
    </xf>
    <xf borderId="1" fillId="9" fontId="2" numFmtId="0" xfId="0" applyAlignment="1" applyBorder="1" applyFill="1" applyFont="1">
      <alignment horizontal="center" shrinkToFit="0" vertical="bottom" wrapText="1"/>
    </xf>
    <xf borderId="1" fillId="6" fontId="3" numFmtId="0" xfId="0" applyAlignment="1" applyBorder="1" applyFont="1">
      <alignment shrinkToFit="0" vertical="bottom" wrapText="1"/>
    </xf>
    <xf borderId="1" fillId="6" fontId="3" numFmtId="0" xfId="0" applyAlignment="1" applyBorder="1" applyFont="1">
      <alignment horizontal="center" shrinkToFit="0" vertical="bottom" wrapText="0"/>
    </xf>
    <xf borderId="1" fillId="0" fontId="11" numFmtId="0" xfId="0" applyAlignment="1" applyBorder="1" applyFont="1">
      <alignment shrinkToFit="0" vertical="bottom" wrapText="0"/>
    </xf>
    <xf borderId="1" fillId="8" fontId="3" numFmtId="0" xfId="0" applyAlignment="1" applyBorder="1" applyFont="1">
      <alignment shrinkToFit="0" vertical="bottom" wrapText="1"/>
    </xf>
    <xf borderId="1" fillId="8" fontId="3" numFmtId="0" xfId="0" applyAlignment="1" applyBorder="1" applyFont="1">
      <alignment horizontal="center" shrinkToFit="0" vertical="bottom" wrapText="0"/>
    </xf>
    <xf borderId="1" fillId="10" fontId="4" numFmtId="0" xfId="0" applyAlignment="1" applyBorder="1" applyFill="1" applyFont="1">
      <alignment shrinkToFit="0" vertical="bottom" wrapText="0"/>
    </xf>
    <xf borderId="1" fillId="10" fontId="11" numFmtId="0" xfId="0" applyAlignment="1" applyBorder="1" applyFont="1">
      <alignment shrinkToFit="0" vertical="bottom" wrapText="0"/>
    </xf>
    <xf borderId="1" fillId="10" fontId="12" numFmtId="0" xfId="0" applyAlignment="1" applyBorder="1" applyFont="1">
      <alignment shrinkToFit="0" vertical="bottom" wrapText="1"/>
    </xf>
    <xf borderId="1" fillId="0" fontId="11" numFmtId="0" xfId="0" applyAlignment="1" applyBorder="1" applyFont="1">
      <alignment readingOrder="0" shrinkToFit="0" vertical="bottom" wrapText="0"/>
    </xf>
    <xf borderId="1" fillId="0" fontId="12" numFmtId="0" xfId="0" applyAlignment="1" applyBorder="1" applyFont="1">
      <alignment shrinkToFit="0" vertical="bottom" wrapText="0"/>
    </xf>
    <xf borderId="1" fillId="11" fontId="3" numFmtId="0" xfId="0" applyAlignment="1" applyBorder="1" applyFill="1" applyFont="1">
      <alignment shrinkToFit="0" vertical="bottom" wrapText="0"/>
    </xf>
    <xf borderId="1" fillId="11" fontId="3" numFmtId="0" xfId="0" applyAlignment="1" applyBorder="1" applyFont="1">
      <alignment horizontal="center" shrinkToFit="0" vertical="bottom" wrapText="0"/>
    </xf>
    <xf borderId="1" fillId="12" fontId="2" numFmtId="0" xfId="0" applyAlignment="1" applyBorder="1" applyFill="1" applyFont="1">
      <alignment horizontal="center" shrinkToFit="0" vertical="bottom" wrapText="1"/>
    </xf>
    <xf borderId="1" fillId="0" fontId="3" numFmtId="0" xfId="0" applyAlignment="1" applyBorder="1" applyFont="1">
      <alignment shrinkToFit="0" vertical="bottom" wrapText="0"/>
    </xf>
    <xf borderId="0" fillId="0" fontId="2" numFmtId="0" xfId="0" applyAlignment="1" applyFont="1">
      <alignment horizontal="center" shrinkToFit="0" vertical="center" wrapText="1"/>
    </xf>
    <xf borderId="1" fillId="12" fontId="2" numFmtId="0" xfId="0" applyAlignment="1" applyBorder="1" applyFont="1">
      <alignment shrinkToFit="0" vertical="bottom" wrapText="0"/>
    </xf>
    <xf borderId="1" fillId="13" fontId="2" numFmtId="0" xfId="0" applyAlignment="1" applyBorder="1" applyFill="1" applyFont="1">
      <alignment shrinkToFit="0" vertical="bottom" wrapText="0"/>
    </xf>
    <xf borderId="1" fillId="14" fontId="4" numFmtId="0" xfId="0" applyAlignment="1" applyBorder="1" applyFill="1" applyFont="1">
      <alignment shrinkToFit="0" vertical="bottom" wrapText="0"/>
    </xf>
    <xf borderId="1" fillId="14" fontId="4" numFmtId="0" xfId="0" applyAlignment="1" applyBorder="1" applyFont="1">
      <alignment horizontal="center" shrinkToFit="0" vertical="bottom" wrapText="0"/>
    </xf>
    <xf borderId="1" fillId="14" fontId="3" numFmtId="0" xfId="0" applyAlignment="1" applyBorder="1" applyFont="1">
      <alignment horizontal="center" shrinkToFit="0" vertical="bottom" wrapText="0"/>
    </xf>
    <xf borderId="1" fillId="15" fontId="4" numFmtId="0" xfId="0" applyAlignment="1" applyBorder="1" applyFill="1" applyFont="1">
      <alignment shrinkToFit="0" vertical="bottom" wrapText="1"/>
    </xf>
    <xf borderId="1" fillId="14" fontId="4" numFmtId="0" xfId="0" applyAlignment="1" applyBorder="1" applyFont="1">
      <alignment shrinkToFit="0" vertical="bottom" wrapText="1"/>
    </xf>
    <xf borderId="1" fillId="16" fontId="5" numFmtId="0" xfId="0" applyAlignment="1" applyBorder="1" applyFill="1" applyFont="1">
      <alignment shrinkToFit="0" vertical="bottom" wrapText="0"/>
    </xf>
    <xf borderId="1" fillId="16" fontId="5" numFmtId="0" xfId="0" applyAlignment="1" applyBorder="1" applyFont="1">
      <alignment horizontal="center" shrinkToFit="0" vertical="bottom" wrapText="0"/>
    </xf>
    <xf borderId="1" fillId="17" fontId="13" numFmtId="0" xfId="0" applyAlignment="1" applyBorder="1" applyFill="1" applyFont="1">
      <alignment shrinkToFit="0" vertical="bottom" wrapText="0"/>
    </xf>
    <xf borderId="1" fillId="17" fontId="13" numFmtId="0" xfId="0" applyAlignment="1" applyBorder="1" applyFont="1">
      <alignment horizontal="center" shrinkToFit="0" vertical="bottom" wrapText="0"/>
    </xf>
    <xf borderId="1" fillId="18" fontId="2" numFmtId="0" xfId="0" applyAlignment="1" applyBorder="1" applyFill="1" applyFont="1">
      <alignment horizontal="center" shrinkToFit="0" vertical="bottom" wrapText="1"/>
    </xf>
    <xf borderId="1" fillId="0" fontId="3" numFmtId="0" xfId="0" applyAlignment="1" applyBorder="1" applyFont="1">
      <alignment shrinkToFit="0" vertical="bottom" wrapText="1"/>
    </xf>
    <xf borderId="1" fillId="0" fontId="4" numFmtId="0" xfId="0" applyAlignment="1" applyBorder="1" applyFont="1">
      <alignment horizontal="left" shrinkToFit="0" vertical="bottom" wrapText="1"/>
    </xf>
    <xf borderId="1" fillId="6" fontId="4" numFmtId="0" xfId="0" applyAlignment="1" applyBorder="1" applyFont="1">
      <alignment horizontal="left" shrinkToFit="0" vertical="bottom" wrapText="1"/>
    </xf>
    <xf borderId="1" fillId="5" fontId="4"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28.0"/>
    <col customWidth="1" min="2" max="3" width="44.0"/>
    <col customWidth="1" min="4" max="26" width="8.71"/>
  </cols>
  <sheetData>
    <row r="1">
      <c r="A1" s="1" t="s">
        <v>0</v>
      </c>
    </row>
    <row r="3">
      <c r="A3" s="2"/>
      <c r="B3" s="2" t="s">
        <v>1</v>
      </c>
      <c r="C3" s="2" t="s">
        <v>2</v>
      </c>
    </row>
    <row r="4">
      <c r="A4" s="3" t="s">
        <v>3</v>
      </c>
      <c r="B4" s="4" t="s">
        <v>4</v>
      </c>
      <c r="C4" s="5" t="s">
        <v>5</v>
      </c>
    </row>
    <row r="5">
      <c r="A5" s="3" t="s">
        <v>6</v>
      </c>
      <c r="B5" s="4" t="s">
        <v>7</v>
      </c>
      <c r="C5" s="5" t="s">
        <v>8</v>
      </c>
    </row>
    <row r="6">
      <c r="A6" s="3" t="s">
        <v>9</v>
      </c>
      <c r="B6" s="6" t="s">
        <v>10</v>
      </c>
      <c r="C6" s="7" t="s">
        <v>11</v>
      </c>
    </row>
    <row r="7">
      <c r="A7" s="3" t="s">
        <v>12</v>
      </c>
      <c r="B7" s="6" t="s">
        <v>13</v>
      </c>
      <c r="C7" s="7" t="s">
        <v>14</v>
      </c>
    </row>
    <row r="8">
      <c r="A8" s="3" t="s">
        <v>15</v>
      </c>
      <c r="B8" s="6" t="s">
        <v>16</v>
      </c>
      <c r="C8" s="7" t="s">
        <v>17</v>
      </c>
    </row>
    <row r="9">
      <c r="A9" s="3" t="s">
        <v>18</v>
      </c>
      <c r="B9" s="6" t="s">
        <v>19</v>
      </c>
      <c r="C9" s="7" t="s">
        <v>20</v>
      </c>
    </row>
    <row r="10">
      <c r="A10" s="3" t="s">
        <v>21</v>
      </c>
      <c r="B10" s="6" t="s">
        <v>22</v>
      </c>
      <c r="C10" s="7" t="s">
        <v>23</v>
      </c>
    </row>
    <row r="11">
      <c r="A11" s="3" t="s">
        <v>24</v>
      </c>
      <c r="B11" s="4" t="s">
        <v>25</v>
      </c>
      <c r="C11" s="5" t="s">
        <v>26</v>
      </c>
    </row>
    <row r="12">
      <c r="A12" s="3" t="s">
        <v>27</v>
      </c>
      <c r="B12" s="6" t="s">
        <v>28</v>
      </c>
      <c r="C12" s="7" t="s">
        <v>29</v>
      </c>
    </row>
    <row r="13">
      <c r="A13" s="3" t="s">
        <v>30</v>
      </c>
      <c r="B13" s="4" t="s">
        <v>31</v>
      </c>
      <c r="C13" s="5" t="s">
        <v>32</v>
      </c>
    </row>
    <row r="15">
      <c r="A15" s="8" t="s">
        <v>33</v>
      </c>
      <c r="B15" s="9" t="s">
        <v>34</v>
      </c>
      <c r="C15" s="10"/>
    </row>
    <row r="17">
      <c r="A17" s="11" t="s">
        <v>35</v>
      </c>
    </row>
    <row r="18">
      <c r="A18" s="12" t="s">
        <v>36</v>
      </c>
      <c r="B18" s="13" t="s">
        <v>37</v>
      </c>
      <c r="C18" s="10"/>
    </row>
    <row r="19">
      <c r="A19" s="12" t="s">
        <v>38</v>
      </c>
      <c r="B19" s="13" t="s">
        <v>39</v>
      </c>
      <c r="C19" s="10"/>
    </row>
    <row r="20">
      <c r="A20" s="12" t="s">
        <v>40</v>
      </c>
      <c r="B20" s="13" t="s">
        <v>41</v>
      </c>
      <c r="C20" s="10"/>
    </row>
    <row r="21">
      <c r="A21" s="12" t="s">
        <v>42</v>
      </c>
      <c r="B21" s="13" t="s">
        <v>43</v>
      </c>
      <c r="C21" s="10"/>
    </row>
    <row r="22">
      <c r="A22" s="12" t="s">
        <v>44</v>
      </c>
      <c r="B22" s="13" t="s">
        <v>45</v>
      </c>
      <c r="C22" s="10"/>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7">
    <mergeCell ref="A1:C1"/>
    <mergeCell ref="B15:C15"/>
    <mergeCell ref="B18:C18"/>
    <mergeCell ref="B19:C19"/>
    <mergeCell ref="B20:C20"/>
    <mergeCell ref="B21:C21"/>
    <mergeCell ref="B22:C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52.0"/>
    <col customWidth="1" min="2" max="3" width="12.0"/>
    <col customWidth="1" min="4" max="4" width="14.0"/>
    <col customWidth="1" min="5" max="5" width="62.0"/>
    <col customWidth="1" min="6" max="26" width="8.71"/>
  </cols>
  <sheetData>
    <row r="1"/>
    <row r="2"/>
    <row r="3"/>
    <row r="4">
      <c r="A4" s="14" t="s">
        <v>46</v>
      </c>
    </row>
    <row r="5">
      <c r="A5" s="15" t="s">
        <v>47</v>
      </c>
    </row>
    <row r="6">
      <c r="A6" s="15" t="s">
        <v>48</v>
      </c>
    </row>
    <row r="7">
      <c r="A7" s="15" t="s">
        <v>49</v>
      </c>
    </row>
    <row r="8">
      <c r="A8" s="15" t="s">
        <v>50</v>
      </c>
    </row>
    <row r="9">
      <c r="A9" s="15" t="s">
        <v>51</v>
      </c>
    </row>
    <row r="10">
      <c r="A10" s="15" t="s">
        <v>52</v>
      </c>
    </row>
    <row r="11">
      <c r="A11" s="15" t="s">
        <v>53</v>
      </c>
    </row>
    <row r="12">
      <c r="A12" s="15" t="s">
        <v>54</v>
      </c>
    </row>
    <row r="13">
      <c r="A13" s="15" t="s">
        <v>55</v>
      </c>
    </row>
    <row r="14">
      <c r="A14" s="15" t="s">
        <v>56</v>
      </c>
    </row>
    <row r="15">
      <c r="A15" s="15" t="s">
        <v>57</v>
      </c>
    </row>
    <row r="16">
      <c r="A16" s="15" t="s">
        <v>58</v>
      </c>
    </row>
    <row r="17">
      <c r="A17" s="15" t="s">
        <v>59</v>
      </c>
    </row>
    <row r="18">
      <c r="A18" s="15" t="s">
        <v>60</v>
      </c>
    </row>
    <row r="19">
      <c r="A19" s="15"/>
    </row>
    <row r="20">
      <c r="A20" s="16" t="s">
        <v>61</v>
      </c>
      <c r="B20" s="16" t="s">
        <v>62</v>
      </c>
      <c r="C20" s="16" t="s">
        <v>63</v>
      </c>
      <c r="D20" s="16" t="s">
        <v>3</v>
      </c>
      <c r="E20" s="16" t="s">
        <v>64</v>
      </c>
    </row>
    <row r="21">
      <c r="A21" s="17" t="s">
        <v>65</v>
      </c>
      <c r="B21" s="18">
        <v>12.0</v>
      </c>
      <c r="C21" s="18">
        <v>18.0</v>
      </c>
      <c r="D21" s="19">
        <f t="shared" ref="D21:D29" si="1">(B21+C21)/2</f>
        <v>15</v>
      </c>
      <c r="E21" s="20" t="s">
        <v>66</v>
      </c>
    </row>
    <row r="22">
      <c r="A22" s="17" t="s">
        <v>67</v>
      </c>
      <c r="B22" s="18">
        <v>14.0</v>
      </c>
      <c r="C22" s="18">
        <v>22.0</v>
      </c>
      <c r="D22" s="19">
        <f t="shared" si="1"/>
        <v>18</v>
      </c>
      <c r="E22" s="21" t="s">
        <v>68</v>
      </c>
    </row>
    <row r="23">
      <c r="A23" s="22" t="s">
        <v>69</v>
      </c>
      <c r="B23" s="18">
        <v>16.0</v>
      </c>
      <c r="C23" s="18">
        <v>30.0</v>
      </c>
      <c r="D23" s="19">
        <f t="shared" si="1"/>
        <v>23</v>
      </c>
      <c r="E23" s="23" t="s">
        <v>70</v>
      </c>
    </row>
    <row r="24">
      <c r="A24" s="22" t="s">
        <v>71</v>
      </c>
      <c r="B24" s="18">
        <v>18.0</v>
      </c>
      <c r="C24" s="18">
        <v>30.0</v>
      </c>
      <c r="D24" s="19">
        <f t="shared" si="1"/>
        <v>24</v>
      </c>
      <c r="E24" s="23" t="s">
        <v>72</v>
      </c>
    </row>
    <row r="25">
      <c r="A25" s="17" t="s">
        <v>73</v>
      </c>
      <c r="B25" s="18">
        <v>6.0</v>
      </c>
      <c r="C25" s="18">
        <v>12.0</v>
      </c>
      <c r="D25" s="19">
        <f t="shared" si="1"/>
        <v>9</v>
      </c>
      <c r="E25" s="21" t="s">
        <v>74</v>
      </c>
    </row>
    <row r="26">
      <c r="A26" s="17" t="s">
        <v>75</v>
      </c>
      <c r="B26" s="18">
        <v>6.0</v>
      </c>
      <c r="C26" s="18">
        <v>10.0</v>
      </c>
      <c r="D26" s="19">
        <f t="shared" si="1"/>
        <v>8</v>
      </c>
      <c r="E26" s="20" t="s">
        <v>76</v>
      </c>
    </row>
    <row r="27">
      <c r="A27" s="17" t="s">
        <v>77</v>
      </c>
      <c r="B27" s="18">
        <v>10.0</v>
      </c>
      <c r="C27" s="18">
        <v>16.0</v>
      </c>
      <c r="D27" s="19">
        <f t="shared" si="1"/>
        <v>13</v>
      </c>
      <c r="E27" s="20" t="s">
        <v>78</v>
      </c>
    </row>
    <row r="28">
      <c r="A28" s="17" t="s">
        <v>79</v>
      </c>
      <c r="B28" s="18">
        <v>10.0</v>
      </c>
      <c r="C28" s="18">
        <v>16.0</v>
      </c>
      <c r="D28" s="19">
        <f t="shared" si="1"/>
        <v>13</v>
      </c>
      <c r="E28" s="21" t="s">
        <v>80</v>
      </c>
    </row>
    <row r="29">
      <c r="A29" s="17" t="s">
        <v>81</v>
      </c>
      <c r="B29" s="18">
        <v>12.0</v>
      </c>
      <c r="C29" s="18">
        <v>18.0</v>
      </c>
      <c r="D29" s="19">
        <f t="shared" si="1"/>
        <v>15</v>
      </c>
      <c r="E29" s="20" t="s">
        <v>82</v>
      </c>
    </row>
    <row r="30">
      <c r="A30" s="24" t="s">
        <v>83</v>
      </c>
      <c r="B30" s="25">
        <f t="shared" ref="B30:D30" si="2">SUM(B21:B29)</f>
        <v>104</v>
      </c>
      <c r="C30" s="25">
        <f t="shared" si="2"/>
        <v>172</v>
      </c>
      <c r="D30" s="25">
        <f t="shared" si="2"/>
        <v>138</v>
      </c>
      <c r="E30" s="24" t="s">
        <v>84</v>
      </c>
    </row>
    <row r="32">
      <c r="A32" s="26" t="s">
        <v>85</v>
      </c>
    </row>
    <row r="33">
      <c r="A33" s="27" t="s">
        <v>86</v>
      </c>
      <c r="B33" s="27" t="s">
        <v>87</v>
      </c>
      <c r="E33" s="27" t="s">
        <v>88</v>
      </c>
    </row>
    <row r="34">
      <c r="A34" s="28" t="s">
        <v>89</v>
      </c>
      <c r="B34" s="29" t="s">
        <v>90</v>
      </c>
      <c r="C34" s="30"/>
      <c r="D34" s="30"/>
      <c r="E34" s="20" t="s">
        <v>91</v>
      </c>
    </row>
    <row r="35">
      <c r="A35" s="28" t="s">
        <v>92</v>
      </c>
      <c r="B35" s="29" t="s">
        <v>90</v>
      </c>
      <c r="C35" s="30"/>
      <c r="D35" s="30"/>
      <c r="E35" s="20" t="s">
        <v>93</v>
      </c>
    </row>
    <row r="36">
      <c r="A36" s="28" t="s">
        <v>94</v>
      </c>
      <c r="B36" s="29" t="s">
        <v>90</v>
      </c>
      <c r="C36" s="30"/>
      <c r="D36" s="30"/>
      <c r="E36" s="20" t="s">
        <v>95</v>
      </c>
    </row>
    <row r="37">
      <c r="A37" s="31" t="s">
        <v>96</v>
      </c>
      <c r="B37" s="32" t="s">
        <v>97</v>
      </c>
      <c r="C37" s="30"/>
      <c r="D37" s="30"/>
      <c r="E37" s="20" t="s">
        <v>98</v>
      </c>
    </row>
    <row r="38">
      <c r="A38" s="31" t="s">
        <v>99</v>
      </c>
      <c r="B38" s="32" t="s">
        <v>97</v>
      </c>
      <c r="C38" s="30"/>
      <c r="D38" s="30"/>
      <c r="E38" s="20" t="s">
        <v>100</v>
      </c>
    </row>
    <row r="39">
      <c r="A39" s="31" t="s">
        <v>101</v>
      </c>
      <c r="B39" s="32" t="s">
        <v>97</v>
      </c>
      <c r="C39" s="30"/>
      <c r="D39" s="30"/>
      <c r="E39" s="20" t="s">
        <v>102</v>
      </c>
    </row>
    <row r="40"/>
    <row r="41">
      <c r="A41" s="14" t="s">
        <v>103</v>
      </c>
    </row>
    <row r="42">
      <c r="A42" s="33" t="s">
        <v>104</v>
      </c>
      <c r="B42" s="34"/>
      <c r="C42" s="34"/>
      <c r="D42" s="34"/>
      <c r="E42" s="35" t="s">
        <v>105</v>
      </c>
    </row>
    <row r="43">
      <c r="A43" s="33" t="s">
        <v>106</v>
      </c>
      <c r="B43" s="34"/>
      <c r="C43" s="34"/>
      <c r="D43" s="34"/>
      <c r="E43" s="35" t="s">
        <v>107</v>
      </c>
    </row>
    <row r="44">
      <c r="A44" s="33" t="s">
        <v>108</v>
      </c>
      <c r="B44" s="34"/>
      <c r="C44" s="34"/>
      <c r="D44" s="34"/>
      <c r="E44" s="35" t="s">
        <v>109</v>
      </c>
    </row>
    <row r="45">
      <c r="A45" s="33" t="s">
        <v>110</v>
      </c>
      <c r="B45" s="34"/>
      <c r="C45" s="34"/>
      <c r="D45" s="34"/>
      <c r="E45" s="35" t="s">
        <v>111</v>
      </c>
    </row>
    <row r="46">
      <c r="A46" s="33" t="s">
        <v>112</v>
      </c>
      <c r="B46" s="34"/>
      <c r="C46" s="34"/>
      <c r="D46" s="34"/>
      <c r="E46" s="35" t="s">
        <v>113</v>
      </c>
    </row>
    <row r="47">
      <c r="A47" s="33" t="s">
        <v>114</v>
      </c>
      <c r="B47" s="34"/>
      <c r="C47" s="34"/>
      <c r="D47" s="34"/>
      <c r="E47" s="35" t="s">
        <v>115</v>
      </c>
    </row>
    <row r="48"/>
    <row r="49">
      <c r="A49" s="14" t="s">
        <v>116</v>
      </c>
    </row>
    <row r="50">
      <c r="A50" s="17" t="s">
        <v>117</v>
      </c>
      <c r="B50" s="36">
        <v>160.0</v>
      </c>
      <c r="E50" s="37" t="s">
        <v>118</v>
      </c>
    </row>
    <row r="51">
      <c r="A51" s="17" t="s">
        <v>119</v>
      </c>
      <c r="B51" s="18">
        <f>B50*B30</f>
        <v>16640</v>
      </c>
    </row>
    <row r="52">
      <c r="A52" s="17" t="s">
        <v>120</v>
      </c>
      <c r="B52" s="18">
        <f>B50*C30</f>
        <v>27520</v>
      </c>
    </row>
    <row r="53">
      <c r="A53" s="38" t="s">
        <v>121</v>
      </c>
      <c r="B53" s="39">
        <f>B50*D30</f>
        <v>22080</v>
      </c>
    </row>
    <row r="54"/>
    <row r="55"/>
    <row r="56">
      <c r="A56" s="14" t="s">
        <v>122</v>
      </c>
    </row>
    <row r="57">
      <c r="A57" s="40" t="s">
        <v>123</v>
      </c>
      <c r="B57" s="40" t="s">
        <v>124</v>
      </c>
      <c r="E57" s="40" t="s">
        <v>125</v>
      </c>
    </row>
    <row r="58">
      <c r="A58" s="41" t="s">
        <v>126</v>
      </c>
      <c r="B58" s="18" t="s">
        <v>127</v>
      </c>
      <c r="C58" s="30"/>
      <c r="D58" s="30"/>
      <c r="E58" s="20" t="s">
        <v>128</v>
      </c>
    </row>
    <row r="59">
      <c r="A59" s="41" t="s">
        <v>129</v>
      </c>
      <c r="B59" s="18" t="s">
        <v>130</v>
      </c>
      <c r="C59" s="30"/>
      <c r="D59" s="30"/>
      <c r="E59" s="20" t="s">
        <v>131</v>
      </c>
    </row>
    <row r="60">
      <c r="A60" s="41" t="s">
        <v>132</v>
      </c>
      <c r="B60" s="18" t="s">
        <v>133</v>
      </c>
      <c r="C60" s="30"/>
      <c r="D60" s="30"/>
      <c r="E60" s="20" t="s">
        <v>134</v>
      </c>
    </row>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2.0"/>
    <col customWidth="1" min="2" max="2" width="24.86"/>
    <col customWidth="1" min="3" max="3" width="12.0"/>
    <col customWidth="1" min="4" max="4" width="14.0"/>
    <col customWidth="1" min="5" max="5" width="62.0"/>
    <col customWidth="1" min="6" max="26" width="8.71"/>
  </cols>
  <sheetData>
    <row r="1">
      <c r="A1" s="42"/>
      <c r="B1" s="42"/>
      <c r="C1" s="42"/>
      <c r="D1" s="42"/>
      <c r="E1" s="42"/>
    </row>
    <row r="2">
      <c r="A2" s="14" t="s">
        <v>46</v>
      </c>
      <c r="B2" s="42"/>
      <c r="C2" s="42"/>
      <c r="D2" s="42"/>
      <c r="E2" s="42"/>
    </row>
    <row r="3">
      <c r="A3" s="15" t="s">
        <v>47</v>
      </c>
      <c r="B3" s="42"/>
      <c r="C3" s="42"/>
      <c r="D3" s="42"/>
      <c r="E3" s="42"/>
    </row>
    <row r="4">
      <c r="A4" s="15" t="s">
        <v>135</v>
      </c>
      <c r="B4" s="42"/>
      <c r="C4" s="42"/>
      <c r="D4" s="42"/>
      <c r="E4" s="42"/>
    </row>
    <row r="5">
      <c r="A5" s="15" t="s">
        <v>136</v>
      </c>
      <c r="B5" s="42"/>
      <c r="C5" s="42"/>
      <c r="D5" s="42"/>
      <c r="E5" s="42"/>
    </row>
    <row r="6">
      <c r="A6" s="15" t="s">
        <v>137</v>
      </c>
      <c r="B6" s="42"/>
      <c r="C6" s="42"/>
      <c r="D6" s="42"/>
      <c r="E6" s="42"/>
    </row>
    <row r="7">
      <c r="A7" s="15" t="s">
        <v>138</v>
      </c>
      <c r="B7" s="42"/>
      <c r="C7" s="42"/>
      <c r="D7" s="42"/>
      <c r="E7" s="42"/>
    </row>
    <row r="8">
      <c r="A8" s="15" t="s">
        <v>51</v>
      </c>
      <c r="B8" s="42"/>
      <c r="C8" s="42"/>
      <c r="D8" s="42"/>
      <c r="E8" s="42"/>
    </row>
    <row r="9">
      <c r="A9" s="15" t="s">
        <v>139</v>
      </c>
      <c r="B9" s="42"/>
      <c r="C9" s="42"/>
      <c r="D9" s="42"/>
      <c r="E9" s="42"/>
    </row>
    <row r="10">
      <c r="A10" s="15" t="s">
        <v>140</v>
      </c>
      <c r="B10" s="42"/>
      <c r="C10" s="42"/>
      <c r="D10" s="42"/>
      <c r="E10" s="42"/>
    </row>
    <row r="11">
      <c r="A11" s="15" t="s">
        <v>54</v>
      </c>
      <c r="B11" s="42"/>
      <c r="C11" s="42"/>
      <c r="D11" s="42"/>
      <c r="E11" s="42"/>
    </row>
    <row r="12">
      <c r="A12" s="15" t="s">
        <v>141</v>
      </c>
      <c r="B12" s="42"/>
      <c r="C12" s="42"/>
      <c r="D12" s="42"/>
      <c r="E12" s="42"/>
    </row>
    <row r="13">
      <c r="A13" s="15" t="s">
        <v>56</v>
      </c>
      <c r="B13" s="42"/>
      <c r="C13" s="42"/>
      <c r="D13" s="42"/>
      <c r="E13" s="42"/>
    </row>
    <row r="14">
      <c r="A14" s="15" t="s">
        <v>57</v>
      </c>
      <c r="B14" s="42"/>
      <c r="C14" s="42"/>
      <c r="D14" s="42"/>
      <c r="E14" s="42"/>
    </row>
    <row r="15">
      <c r="A15" s="15" t="s">
        <v>58</v>
      </c>
      <c r="B15" s="42"/>
      <c r="C15" s="42"/>
      <c r="D15" s="42"/>
      <c r="E15" s="42"/>
    </row>
    <row r="16">
      <c r="A16" s="15" t="s">
        <v>142</v>
      </c>
      <c r="B16" s="42"/>
      <c r="C16" s="42"/>
      <c r="D16" s="42"/>
      <c r="E16" s="42"/>
    </row>
    <row r="17">
      <c r="A17" s="42"/>
      <c r="B17" s="42"/>
      <c r="C17" s="42"/>
      <c r="D17" s="42"/>
      <c r="E17" s="42"/>
    </row>
    <row r="18">
      <c r="A18" s="42"/>
      <c r="B18" s="42"/>
      <c r="C18" s="42"/>
      <c r="D18" s="42"/>
      <c r="E18" s="42"/>
    </row>
    <row r="19">
      <c r="A19" s="42"/>
      <c r="B19" s="42"/>
      <c r="C19" s="42"/>
      <c r="D19" s="42"/>
      <c r="E19" s="42"/>
    </row>
    <row r="20">
      <c r="A20" s="16" t="s">
        <v>61</v>
      </c>
      <c r="B20" s="16" t="s">
        <v>62</v>
      </c>
      <c r="C20" s="16" t="s">
        <v>63</v>
      </c>
      <c r="D20" s="16" t="s">
        <v>3</v>
      </c>
      <c r="E20" s="16" t="s">
        <v>64</v>
      </c>
    </row>
    <row r="21">
      <c r="A21" s="43" t="s">
        <v>143</v>
      </c>
      <c r="B21" s="43"/>
      <c r="C21" s="43"/>
      <c r="D21" s="43"/>
      <c r="E21" s="43"/>
    </row>
    <row r="22">
      <c r="A22" s="17" t="s">
        <v>65</v>
      </c>
      <c r="B22" s="18">
        <v>12.0</v>
      </c>
      <c r="C22" s="18">
        <v>18.0</v>
      </c>
      <c r="D22" s="19">
        <f t="shared" ref="D22:D30" si="1">(B22+C22)/2</f>
        <v>15</v>
      </c>
      <c r="E22" s="20" t="s">
        <v>144</v>
      </c>
    </row>
    <row r="23">
      <c r="A23" s="17" t="s">
        <v>67</v>
      </c>
      <c r="B23" s="18">
        <v>14.0</v>
      </c>
      <c r="C23" s="18">
        <v>22.0</v>
      </c>
      <c r="D23" s="19">
        <f t="shared" si="1"/>
        <v>18</v>
      </c>
      <c r="E23" s="21" t="s">
        <v>145</v>
      </c>
    </row>
    <row r="24">
      <c r="A24" s="17" t="s">
        <v>146</v>
      </c>
      <c r="B24" s="18">
        <v>14.0</v>
      </c>
      <c r="C24" s="18">
        <v>24.0</v>
      </c>
      <c r="D24" s="19">
        <f t="shared" si="1"/>
        <v>19</v>
      </c>
      <c r="E24" s="21" t="s">
        <v>147</v>
      </c>
    </row>
    <row r="25">
      <c r="A25" s="17" t="s">
        <v>148</v>
      </c>
      <c r="B25" s="18">
        <v>8.0</v>
      </c>
      <c r="C25" s="18">
        <v>14.0</v>
      </c>
      <c r="D25" s="19">
        <f t="shared" si="1"/>
        <v>11</v>
      </c>
      <c r="E25" s="20" t="s">
        <v>149</v>
      </c>
    </row>
    <row r="26">
      <c r="A26" s="17" t="s">
        <v>73</v>
      </c>
      <c r="B26" s="18">
        <v>6.0</v>
      </c>
      <c r="C26" s="18">
        <v>12.0</v>
      </c>
      <c r="D26" s="19">
        <f t="shared" si="1"/>
        <v>9</v>
      </c>
      <c r="E26" s="20" t="s">
        <v>150</v>
      </c>
    </row>
    <row r="27">
      <c r="A27" s="17" t="s">
        <v>75</v>
      </c>
      <c r="B27" s="18">
        <v>6.0</v>
      </c>
      <c r="C27" s="18">
        <v>10.0</v>
      </c>
      <c r="D27" s="19">
        <f t="shared" si="1"/>
        <v>8</v>
      </c>
      <c r="E27" s="20" t="s">
        <v>151</v>
      </c>
    </row>
    <row r="28">
      <c r="A28" s="17" t="s">
        <v>77</v>
      </c>
      <c r="B28" s="18">
        <v>8.0</v>
      </c>
      <c r="C28" s="18">
        <v>14.0</v>
      </c>
      <c r="D28" s="19">
        <f t="shared" si="1"/>
        <v>11</v>
      </c>
      <c r="E28" s="20" t="s">
        <v>152</v>
      </c>
    </row>
    <row r="29">
      <c r="A29" s="17" t="s">
        <v>79</v>
      </c>
      <c r="B29" s="18">
        <v>10.0</v>
      </c>
      <c r="C29" s="18">
        <v>16.0</v>
      </c>
      <c r="D29" s="19">
        <f t="shared" si="1"/>
        <v>13</v>
      </c>
      <c r="E29" s="21" t="s">
        <v>153</v>
      </c>
    </row>
    <row r="30">
      <c r="A30" s="17" t="s">
        <v>81</v>
      </c>
      <c r="B30" s="18">
        <v>10.0</v>
      </c>
      <c r="C30" s="18">
        <v>16.0</v>
      </c>
      <c r="D30" s="19">
        <f t="shared" si="1"/>
        <v>13</v>
      </c>
      <c r="E30" s="20" t="s">
        <v>154</v>
      </c>
    </row>
    <row r="31">
      <c r="A31" s="24" t="s">
        <v>155</v>
      </c>
      <c r="B31" s="25">
        <f t="shared" ref="B31:D31" si="2">SUM(B22:B30)</f>
        <v>88</v>
      </c>
      <c r="C31" s="25">
        <f t="shared" si="2"/>
        <v>146</v>
      </c>
      <c r="D31" s="25">
        <f t="shared" si="2"/>
        <v>117</v>
      </c>
      <c r="E31" s="24" t="s">
        <v>156</v>
      </c>
    </row>
    <row r="33">
      <c r="A33" s="44" t="s">
        <v>157</v>
      </c>
      <c r="B33" s="44"/>
      <c r="C33" s="44"/>
      <c r="D33" s="44"/>
      <c r="E33" s="44"/>
    </row>
    <row r="34">
      <c r="A34" s="45" t="s">
        <v>158</v>
      </c>
      <c r="B34" s="46">
        <v>20.0</v>
      </c>
      <c r="C34" s="46">
        <v>32.0</v>
      </c>
      <c r="D34" s="47">
        <f t="shared" ref="D34:D37" si="3">(B34+C34)/2</f>
        <v>26</v>
      </c>
      <c r="E34" s="48" t="s">
        <v>159</v>
      </c>
    </row>
    <row r="35">
      <c r="A35" s="45" t="s">
        <v>160</v>
      </c>
      <c r="B35" s="46">
        <v>6.0</v>
      </c>
      <c r="C35" s="46">
        <v>10.0</v>
      </c>
      <c r="D35" s="47">
        <f t="shared" si="3"/>
        <v>8</v>
      </c>
      <c r="E35" s="48" t="s">
        <v>161</v>
      </c>
    </row>
    <row r="36">
      <c r="A36" s="45" t="s">
        <v>162</v>
      </c>
      <c r="B36" s="46">
        <v>4.0</v>
      </c>
      <c r="C36" s="46">
        <v>8.0</v>
      </c>
      <c r="D36" s="47">
        <f t="shared" si="3"/>
        <v>6</v>
      </c>
      <c r="E36" s="49" t="s">
        <v>163</v>
      </c>
    </row>
    <row r="37">
      <c r="A37" s="45" t="s">
        <v>164</v>
      </c>
      <c r="B37" s="46">
        <v>8.0</v>
      </c>
      <c r="C37" s="46">
        <v>12.0</v>
      </c>
      <c r="D37" s="47">
        <f t="shared" si="3"/>
        <v>10</v>
      </c>
      <c r="E37" s="49" t="s">
        <v>165</v>
      </c>
    </row>
    <row r="38">
      <c r="A38" s="50" t="s">
        <v>166</v>
      </c>
      <c r="B38" s="51">
        <f t="shared" ref="B38:D38" si="4">SUM(B34:B37)</f>
        <v>38</v>
      </c>
      <c r="C38" s="51">
        <f t="shared" si="4"/>
        <v>62</v>
      </c>
      <c r="D38" s="51">
        <f t="shared" si="4"/>
        <v>50</v>
      </c>
      <c r="E38" s="50" t="s">
        <v>167</v>
      </c>
    </row>
    <row r="39">
      <c r="A39" s="52" t="s">
        <v>168</v>
      </c>
      <c r="B39" s="53">
        <f t="shared" ref="B39:D39" si="5">B31+B38</f>
        <v>126</v>
      </c>
      <c r="C39" s="53">
        <f t="shared" si="5"/>
        <v>208</v>
      </c>
      <c r="D39" s="53">
        <f t="shared" si="5"/>
        <v>167</v>
      </c>
      <c r="E39" s="52" t="s">
        <v>169</v>
      </c>
    </row>
    <row r="40"/>
    <row r="41">
      <c r="A41" s="14" t="s">
        <v>170</v>
      </c>
    </row>
    <row r="42">
      <c r="A42" s="54" t="s">
        <v>171</v>
      </c>
      <c r="B42" s="54" t="s">
        <v>172</v>
      </c>
      <c r="C42" s="30"/>
      <c r="D42" s="30"/>
      <c r="E42" s="54" t="s">
        <v>173</v>
      </c>
    </row>
    <row r="43">
      <c r="A43" s="55" t="s">
        <v>174</v>
      </c>
      <c r="B43" s="56">
        <f>D31+18</f>
        <v>135</v>
      </c>
      <c r="C43" s="30"/>
      <c r="D43" s="30"/>
      <c r="E43" s="20">
        <f>D31</f>
        <v>117</v>
      </c>
    </row>
    <row r="44">
      <c r="A44" s="55" t="s">
        <v>175</v>
      </c>
      <c r="B44" s="56" t="s">
        <v>176</v>
      </c>
      <c r="C44" s="30"/>
      <c r="D44" s="30"/>
      <c r="E44" s="20">
        <f>D39</f>
        <v>167</v>
      </c>
    </row>
    <row r="45">
      <c r="A45" s="55" t="s">
        <v>177</v>
      </c>
      <c r="B45" s="57" t="s">
        <v>178</v>
      </c>
      <c r="C45" s="30"/>
      <c r="D45" s="30"/>
      <c r="E45" s="58" t="s">
        <v>179</v>
      </c>
    </row>
    <row r="46">
      <c r="A46" s="55" t="s">
        <v>12</v>
      </c>
      <c r="B46" s="56" t="s">
        <v>180</v>
      </c>
      <c r="C46" s="30"/>
      <c r="D46" s="30"/>
      <c r="E46" s="58" t="s">
        <v>181</v>
      </c>
    </row>
    <row r="47">
      <c r="A47" s="55" t="s">
        <v>182</v>
      </c>
      <c r="B47" s="57" t="s">
        <v>183</v>
      </c>
      <c r="C47" s="30"/>
      <c r="D47" s="30"/>
      <c r="E47" s="20" t="s">
        <v>184</v>
      </c>
    </row>
    <row r="48">
      <c r="A48" s="55" t="s">
        <v>185</v>
      </c>
      <c r="B48" s="56" t="s">
        <v>186</v>
      </c>
      <c r="C48" s="30"/>
      <c r="D48" s="30"/>
      <c r="E48" s="58" t="s">
        <v>187</v>
      </c>
    </row>
    <row r="49">
      <c r="A49" s="55" t="s">
        <v>188</v>
      </c>
      <c r="B49" s="57" t="s">
        <v>189</v>
      </c>
      <c r="C49" s="30"/>
      <c r="D49" s="30"/>
      <c r="E49" s="58" t="s">
        <v>190</v>
      </c>
    </row>
    <row r="50">
      <c r="A50" s="55" t="s">
        <v>191</v>
      </c>
      <c r="B50" s="56" t="s">
        <v>192</v>
      </c>
      <c r="C50" s="30"/>
      <c r="D50" s="30"/>
      <c r="E50" s="20" t="s">
        <v>193</v>
      </c>
    </row>
    <row r="51">
      <c r="A51" s="55" t="s">
        <v>30</v>
      </c>
      <c r="B51" s="56" t="s">
        <v>194</v>
      </c>
      <c r="C51" s="30"/>
      <c r="D51" s="30"/>
      <c r="E51" s="20" t="s">
        <v>195</v>
      </c>
    </row>
    <row r="52"/>
    <row r="53">
      <c r="A53" s="14" t="s">
        <v>196</v>
      </c>
    </row>
    <row r="54">
      <c r="A54" s="33" t="s">
        <v>104</v>
      </c>
      <c r="B54" s="34"/>
      <c r="C54" s="34"/>
      <c r="D54" s="34"/>
      <c r="E54" s="35" t="s">
        <v>197</v>
      </c>
    </row>
    <row r="55">
      <c r="A55" s="33" t="s">
        <v>106</v>
      </c>
      <c r="B55" s="34"/>
      <c r="C55" s="34"/>
      <c r="D55" s="34"/>
      <c r="E55" s="35" t="s">
        <v>198</v>
      </c>
    </row>
    <row r="56">
      <c r="A56" s="33" t="s">
        <v>108</v>
      </c>
      <c r="B56" s="34"/>
      <c r="C56" s="34"/>
      <c r="D56" s="34"/>
      <c r="E56" s="35" t="s">
        <v>199</v>
      </c>
    </row>
    <row r="57">
      <c r="A57" s="33" t="s">
        <v>110</v>
      </c>
      <c r="B57" s="34"/>
      <c r="C57" s="34"/>
      <c r="D57" s="34"/>
      <c r="E57" s="35" t="s">
        <v>200</v>
      </c>
    </row>
    <row r="58">
      <c r="A58" s="33" t="s">
        <v>112</v>
      </c>
      <c r="B58" s="34"/>
      <c r="C58" s="34"/>
      <c r="D58" s="34"/>
      <c r="E58" s="35" t="s">
        <v>201</v>
      </c>
    </row>
    <row r="59">
      <c r="A59" s="33" t="s">
        <v>114</v>
      </c>
      <c r="B59" s="34"/>
      <c r="C59" s="34"/>
      <c r="D59" s="34"/>
      <c r="E59" s="35" t="s">
        <v>202</v>
      </c>
    </row>
    <row r="60"/>
    <row r="61">
      <c r="A61" s="14" t="s">
        <v>116</v>
      </c>
    </row>
    <row r="62">
      <c r="A62" s="17" t="s">
        <v>117</v>
      </c>
      <c r="B62" s="30"/>
      <c r="E62" s="37" t="s">
        <v>118</v>
      </c>
    </row>
    <row r="63">
      <c r="A63" s="17" t="s">
        <v>203</v>
      </c>
      <c r="B63" s="18">
        <f>B62*D31</f>
        <v>0</v>
      </c>
    </row>
    <row r="64">
      <c r="A64" s="17" t="s">
        <v>204</v>
      </c>
      <c r="B64" s="18">
        <f>B62*D38</f>
        <v>0</v>
      </c>
    </row>
    <row r="65">
      <c r="A65" s="38" t="s">
        <v>205</v>
      </c>
      <c r="B65" s="39">
        <f>B62*D39</f>
        <v>0</v>
      </c>
    </row>
    <row r="66"/>
    <row r="67"/>
    <row r="68"/>
    <row r="69"/>
    <row r="70"/>
    <row r="71"/>
    <row r="72"/>
    <row r="73"/>
    <row r="74"/>
    <row r="75"/>
    <row r="76"/>
    <row r="77"/>
    <row r="78"/>
    <row r="79"/>
    <row r="80"/>
    <row r="81"/>
    <row r="82"/>
    <row r="83">
      <c r="A83" s="14" t="s">
        <v>122</v>
      </c>
    </row>
    <row r="84">
      <c r="A84" s="40" t="s">
        <v>123</v>
      </c>
      <c r="B84" s="40" t="s">
        <v>124</v>
      </c>
      <c r="E84" s="40" t="s">
        <v>125</v>
      </c>
    </row>
    <row r="85">
      <c r="A85" s="41" t="s">
        <v>126</v>
      </c>
      <c r="B85" s="18" t="s">
        <v>127</v>
      </c>
      <c r="C85" s="30"/>
      <c r="D85" s="30"/>
      <c r="E85" s="20" t="s">
        <v>206</v>
      </c>
    </row>
    <row r="86">
      <c r="A86" s="41" t="s">
        <v>129</v>
      </c>
      <c r="B86" s="18" t="s">
        <v>130</v>
      </c>
      <c r="C86" s="30"/>
      <c r="D86" s="30"/>
      <c r="E86" s="20" t="s">
        <v>207</v>
      </c>
    </row>
    <row r="87">
      <c r="A87" s="41" t="s">
        <v>132</v>
      </c>
      <c r="B87" s="18" t="s">
        <v>133</v>
      </c>
      <c r="C87" s="30"/>
      <c r="D87" s="30"/>
      <c r="E87" s="20" t="s">
        <v>208</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sheetData>
  <printOptions/>
  <pageMargins bottom="1.0" footer="0.0" header="0.0" left="0.75" right="0.75" top="1.0"/>
  <pageSetup paperSize="9" orientation="portrait"/>
  <drawing r:id="rId1"/>
</worksheet>
</file>