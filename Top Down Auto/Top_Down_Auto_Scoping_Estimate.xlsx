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ing Estimate" sheetId="1" state="visible" r:id="rId1"/>
    <sheet xmlns:r="http://schemas.openxmlformats.org/officeDocument/2006/relationships" name="Risk Register" sheetId="2" state="visible" r:id="rId2"/>
    <sheet xmlns:r="http://schemas.openxmlformats.org/officeDocument/2006/relationships" name="Assumptions &amp; Exclusions" sheetId="3" state="visible" r:id="rId3"/>
    <sheet xmlns:r="http://schemas.openxmlformats.org/officeDocument/2006/relationships" name="Approach Comparison" sheetId="4" state="visible" r:id="rId4"/>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sz val="10"/>
    </font>
    <font>
      <name val="Arial"/>
      <b val="1"/>
      <color rgb="00FFFFFF"/>
      <sz val="11"/>
    </font>
    <font>
      <name val="Arial"/>
      <sz val="10"/>
    </font>
    <font>
      <name val="Arial"/>
      <b val="1"/>
      <sz val="11"/>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2F2F2"/>
        <bgColor rgb="00F2F2F2"/>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pivotButton="0" quotePrefix="0" xfId="0"/>
    <xf numFmtId="164" fontId="1"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3" fillId="0" borderId="1" applyAlignment="1" pivotButton="0" quotePrefix="0" xfId="0">
      <alignment vertical="top" wrapText="1"/>
    </xf>
    <xf numFmtId="164"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164" fontId="3" fillId="4" borderId="1" applyAlignment="1" pivotButton="0" quotePrefix="0" xfId="0">
      <alignment vertical="top" wrapText="1"/>
    </xf>
    <xf numFmtId="0" fontId="4" fillId="5" borderId="1" pivotButton="0" quotePrefix="0" xfId="0"/>
    <xf numFmtId="164" fontId="4" fillId="5" borderId="1" pivotButton="0" quotePrefix="0" xfId="0"/>
    <xf numFmtId="0" fontId="3" fillId="6" borderId="1" applyAlignment="1" pivotButton="0" quotePrefix="0" xfId="0">
      <alignment vertical="top" wrapText="1"/>
    </xf>
    <xf numFmtId="0" fontId="3" fillId="7" borderId="1" applyAlignment="1" pivotButton="0" quotePrefix="0" xfId="0">
      <alignment vertical="top" wrapText="1"/>
    </xf>
    <xf numFmtId="0" fontId="2" fillId="2" borderId="0" applyAlignment="1" pivotButton="0" quotePrefix="0" xfId="0">
      <alignment vertical="center"/>
    </xf>
    <xf numFmtId="0" fontId="0" fillId="2" borderId="0" pivotButton="0" quotePrefix="0" xfId="0"/>
    <xf numFmtId="0" fontId="3" fillId="4" borderId="1" applyAlignment="1" pivotButton="0" quotePrefix="0" xfId="0">
      <alignment horizontal="center" vertical="top"/>
    </xf>
    <xf numFmtId="0" fontId="3" fillId="0" borderId="1" applyAlignment="1" pivotButton="0" quotePrefix="0" xfId="0">
      <alignment horizontal="center" vertical="top"/>
    </xf>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pane ySplit="3" topLeftCell="A4" activePane="bottomLeft" state="frozen"/>
      <selection pane="bottomLeft" activeCell="A1" sqref="A1"/>
    </sheetView>
  </sheetViews>
  <sheetFormatPr baseColWidth="8" defaultRowHeight="15"/>
  <cols>
    <col width="35" customWidth="1" min="1" max="1"/>
    <col width="60" customWidth="1" min="2" max="2"/>
    <col width="12" customWidth="1" min="3" max="3"/>
    <col width="14" customWidth="1" min="4" max="4"/>
    <col width="12" customWidth="1" min="5" max="5"/>
    <col width="10" customWidth="1" min="6" max="6"/>
    <col width="12" customWidth="1" min="7" max="7"/>
    <col width="14" customWidth="1" min="8" max="8"/>
    <col width="12" customWidth="1" min="9" max="9"/>
    <col width="50" customWidth="1" min="10" max="10"/>
    <col width="14" customWidth="1" min="11" max="11"/>
    <col width="14" customWidth="1" min="12" max="12"/>
    <col width="14" customWidth="1" min="13" max="13"/>
    <col width="14" customWidth="1" min="14" max="14"/>
    <col width="30" customWidth="1" min="15" max="15"/>
  </cols>
  <sheetData>
    <row r="1">
      <c r="A1" s="1" t="inlineStr">
        <is>
          <t>Hourly Rate:</t>
        </is>
      </c>
      <c r="B1" s="2" t="n">
        <v>150</v>
      </c>
    </row>
    <row r="3">
      <c r="A3" s="3" t="inlineStr">
        <is>
          <t>Workstream</t>
        </is>
      </c>
      <c r="B3" s="3" t="inlineStr">
        <is>
          <t>Description</t>
        </is>
      </c>
      <c r="C3" s="3" t="inlineStr">
        <is>
          <t>Min Hours</t>
        </is>
      </c>
      <c r="D3" s="3" t="inlineStr">
        <is>
          <t>Median Hours</t>
        </is>
      </c>
      <c r="E3" s="3" t="inlineStr">
        <is>
          <t>Max Hours</t>
        </is>
      </c>
      <c r="F3" s="3" t="inlineStr">
        <is>
          <t>Rate</t>
        </is>
      </c>
      <c r="G3" s="3" t="inlineStr">
        <is>
          <t>Min Cost</t>
        </is>
      </c>
      <c r="H3" s="3" t="inlineStr">
        <is>
          <t>Median Cost</t>
        </is>
      </c>
      <c r="I3" s="3" t="inlineStr">
        <is>
          <t>Max Cost</t>
        </is>
      </c>
      <c r="J3" s="3" t="inlineStr">
        <is>
          <t>Notes/Assumptions</t>
        </is>
      </c>
      <c r="K3" s="3" t="inlineStr">
        <is>
          <t>Actual Hours</t>
        </is>
      </c>
      <c r="L3" s="3" t="inlineStr">
        <is>
          <t>Actual Cost</t>
        </is>
      </c>
      <c r="M3" s="3" t="inlineStr">
        <is>
          <t>Hour Variance</t>
        </is>
      </c>
      <c r="N3" s="3" t="inlineStr">
        <is>
          <t>Cost Variance</t>
        </is>
      </c>
      <c r="O3" s="3" t="inlineStr">
        <is>
          <t>Variance Notes</t>
        </is>
      </c>
    </row>
    <row r="4">
      <c r="A4" s="4" t="inlineStr">
        <is>
          <t>CRM WORKSTREAMS (HubSpot Sales Hub Professional)</t>
        </is>
      </c>
      <c r="B4" s="4" t="inlineStr"/>
      <c r="C4" s="4" t="n"/>
      <c r="D4" s="4" t="n"/>
      <c r="E4" s="4" t="n"/>
      <c r="F4" s="4" t="n"/>
      <c r="G4" s="4" t="n"/>
      <c r="H4" s="4" t="n"/>
      <c r="I4" s="4" t="n"/>
      <c r="J4" s="4" t="inlineStr"/>
      <c r="K4" s="4" t="n"/>
      <c r="L4" s="4" t="n"/>
      <c r="M4" s="4" t="n"/>
      <c r="N4" s="4" t="n"/>
      <c r="O4" s="4" t="n"/>
    </row>
    <row r="5">
      <c r="A5" s="5" t="inlineStr">
        <is>
          <t>CRM Architecture &amp; Setup</t>
        </is>
      </c>
      <c r="B5" s="5" t="inlineStr">
        <is>
          <t>Multi-brand structure, user roles for shared sales team, HubSpot Sales Pro tier</t>
        </is>
      </c>
      <c r="C5" s="5" t="n">
        <v>10</v>
      </c>
      <c r="D5" s="5" t="n">
        <v>14</v>
      </c>
      <c r="E5" s="5" t="n">
        <v>18</v>
      </c>
      <c r="F5" s="6">
        <f>$B$1</f>
        <v/>
      </c>
      <c r="G5" s="6">
        <f>C5*F5</f>
        <v/>
      </c>
      <c r="H5" s="6">
        <f>D5*F5</f>
        <v/>
      </c>
      <c r="I5" s="6">
        <f>E5*F5</f>
        <v/>
      </c>
      <c r="J5" s="5" t="inlineStr">
        <is>
          <t>HubSpot Sales Hub Professional recommended</t>
        </is>
      </c>
      <c r="K5" s="7" t="n"/>
      <c r="L5" s="6">
        <f>K5*$B$1</f>
        <v/>
      </c>
      <c r="M5" s="5">
        <f>IF(K5="","",K5-D5)</f>
        <v/>
      </c>
      <c r="N5" s="6">
        <f>IF(K5="","",L5-H5)</f>
        <v/>
      </c>
      <c r="O5" s="7" t="n"/>
    </row>
    <row r="6">
      <c r="A6" s="8" t="inlineStr">
        <is>
          <t>Pipeline &amp; Deal Management</t>
        </is>
      </c>
      <c r="B6" s="8" t="inlineStr">
        <is>
          <t>3+ pipelines (interiors, convertible tops, seat covers), distinct stages per product line</t>
        </is>
      </c>
      <c r="C6" s="8" t="n">
        <v>10</v>
      </c>
      <c r="D6" s="8" t="n">
        <v>16</v>
      </c>
      <c r="E6" s="8" t="n">
        <v>22</v>
      </c>
      <c r="F6" s="9">
        <f>$B$1</f>
        <v/>
      </c>
      <c r="G6" s="9">
        <f>C6*F6</f>
        <v/>
      </c>
      <c r="H6" s="9">
        <f>D6*F6</f>
        <v/>
      </c>
      <c r="I6" s="9">
        <f>E6*F6</f>
        <v/>
      </c>
      <c r="J6" s="8" t="inlineStr">
        <is>
          <t>Interiors pipeline most complex (4-6 week cycles)</t>
        </is>
      </c>
      <c r="K6" s="8" t="n"/>
      <c r="L6" s="9">
        <f>K6*$B$1</f>
        <v/>
      </c>
      <c r="M6" s="8">
        <f>IF(K6="","",K6-D6)</f>
        <v/>
      </c>
      <c r="N6" s="9">
        <f>IF(K6="","",L6-H6)</f>
        <v/>
      </c>
      <c r="O6" s="8" t="n"/>
    </row>
    <row r="7">
      <c r="A7" s="5" t="inlineStr">
        <is>
          <t>Contact &amp; Company Management</t>
        </is>
      </c>
      <c r="B7" s="5" t="inlineStr">
        <is>
          <t>Cross-brand account structure, dedup strategy, association labels per subsidiary</t>
        </is>
      </c>
      <c r="C7" s="5" t="n">
        <v>12</v>
      </c>
      <c r="D7" s="5" t="n">
        <v>18</v>
      </c>
      <c r="E7" s="5" t="n">
        <v>24</v>
      </c>
      <c r="F7" s="6">
        <f>$B$1</f>
        <v/>
      </c>
      <c r="G7" s="6">
        <f>C7*F7</f>
        <v/>
      </c>
      <c r="H7" s="6">
        <f>D7*F7</f>
        <v/>
      </c>
      <c r="I7" s="6">
        <f>E7*F7</f>
        <v/>
      </c>
      <c r="J7" s="5" t="inlineStr">
        <is>
          <t>Multi-subsidiary parent-child associations</t>
        </is>
      </c>
      <c r="K7" s="7" t="n"/>
      <c r="L7" s="6">
        <f>K7*$B$1</f>
        <v/>
      </c>
      <c r="M7" s="5">
        <f>IF(K7="","",K7-D7)</f>
        <v/>
      </c>
      <c r="N7" s="6">
        <f>IF(K7="","",L7-H7)</f>
        <v/>
      </c>
      <c r="O7" s="7" t="n"/>
    </row>
    <row r="8">
      <c r="A8" s="8" t="inlineStr">
        <is>
          <t>Automations &amp; Workflows</t>
        </is>
      </c>
      <c r="B8" s="8" t="inlineStr">
        <is>
          <t>Lead routing to shared pool, task creation, stage-change triggers, quote follow-up reminders</t>
        </is>
      </c>
      <c r="C8" s="8" t="n">
        <v>14</v>
      </c>
      <c r="D8" s="8" t="n">
        <v>20</v>
      </c>
      <c r="E8" s="8" t="n">
        <v>28</v>
      </c>
      <c r="F8" s="9">
        <f>$B$1</f>
        <v/>
      </c>
      <c r="G8" s="9">
        <f>C8*F8</f>
        <v/>
      </c>
      <c r="H8" s="9">
        <f>D8*F8</f>
        <v/>
      </c>
      <c r="I8" s="9">
        <f>E8*F8</f>
        <v/>
      </c>
      <c r="J8" s="8" t="inlineStr">
        <is>
          <t>Requires Professional tier for workflows</t>
        </is>
      </c>
      <c r="K8" s="8" t="n"/>
      <c r="L8" s="9">
        <f>K8*$B$1</f>
        <v/>
      </c>
      <c r="M8" s="8">
        <f>IF(K8="","",K8-D8)</f>
        <v/>
      </c>
      <c r="N8" s="9">
        <f>IF(K8="","",L8-H8)</f>
        <v/>
      </c>
      <c r="O8" s="8" t="n"/>
    </row>
    <row r="9">
      <c r="A9" s="5" t="inlineStr">
        <is>
          <t>Email &amp; Communication</t>
        </is>
      </c>
      <c r="B9" s="5" t="inlineStr">
        <is>
          <t>Templates, sequences, connected inboxes; call logging prep for future phone integration</t>
        </is>
      </c>
      <c r="C9" s="5" t="n">
        <v>6</v>
      </c>
      <c r="D9" s="5" t="n">
        <v>10</v>
      </c>
      <c r="E9" s="5" t="n">
        <v>14</v>
      </c>
      <c r="F9" s="6">
        <f>$B$1</f>
        <v/>
      </c>
      <c r="G9" s="6">
        <f>C9*F9</f>
        <v/>
      </c>
      <c r="H9" s="6">
        <f>D9*F9</f>
        <v/>
      </c>
      <c r="I9" s="6">
        <f>E9*F9</f>
        <v/>
      </c>
      <c r="J9" s="5" t="inlineStr">
        <is>
          <t>Phone integration excluded (separate phase)</t>
        </is>
      </c>
      <c r="K9" s="7" t="n"/>
      <c r="L9" s="6">
        <f>K9*$B$1</f>
        <v/>
      </c>
      <c r="M9" s="5">
        <f>IF(K9="","",K9-D9)</f>
        <v/>
      </c>
      <c r="N9" s="6">
        <f>IF(K9="","",L9-H9)</f>
        <v/>
      </c>
      <c r="O9" s="7" t="n"/>
    </row>
    <row r="10">
      <c r="A10" s="8" t="inlineStr">
        <is>
          <t>Reporting &amp; Dashboards</t>
        </is>
      </c>
      <c r="B10" s="8" t="inlineStr">
        <is>
          <t>Quote conversion, win/loss, CSR performance, pipeline velocity per product line</t>
        </is>
      </c>
      <c r="C10" s="8" t="n">
        <v>10</v>
      </c>
      <c r="D10" s="8" t="n">
        <v>16</v>
      </c>
      <c r="E10" s="8" t="n">
        <v>22</v>
      </c>
      <c r="F10" s="9">
        <f>$B$1</f>
        <v/>
      </c>
      <c r="G10" s="9">
        <f>C10*F10</f>
        <v/>
      </c>
      <c r="H10" s="9">
        <f>D10*F10</f>
        <v/>
      </c>
      <c r="I10" s="9">
        <f>E10*F10</f>
        <v/>
      </c>
      <c r="J10" s="8" t="inlineStr">
        <is>
          <t>Per-brand and consolidated views</t>
        </is>
      </c>
      <c r="K10" s="8" t="n"/>
      <c r="L10" s="9">
        <f>K10*$B$1</f>
        <v/>
      </c>
      <c r="M10" s="8">
        <f>IF(K10="","",K10-D10)</f>
        <v/>
      </c>
      <c r="N10" s="9">
        <f>IF(K10="","",L10-H10)</f>
        <v/>
      </c>
      <c r="O10" s="8" t="n"/>
    </row>
    <row r="11">
      <c r="A11" s="5" t="inlineStr">
        <is>
          <t>Training &amp; Adoption (Admin)</t>
        </is>
      </c>
      <c r="B11" s="5" t="inlineStr">
        <is>
          <t>Stephanie + sales manager</t>
        </is>
      </c>
      <c r="C11" s="5" t="n">
        <v>6</v>
      </c>
      <c r="D11" s="5" t="n">
        <v>8</v>
      </c>
      <c r="E11" s="5" t="n">
        <v>10</v>
      </c>
      <c r="F11" s="6">
        <f>$B$1</f>
        <v/>
      </c>
      <c r="G11" s="6">
        <f>C11*F11</f>
        <v/>
      </c>
      <c r="H11" s="6">
        <f>D11*F11</f>
        <v/>
      </c>
      <c r="I11" s="6">
        <f>E11*F11</f>
        <v/>
      </c>
      <c r="J11" s="5" t="inlineStr">
        <is>
          <t>2 admin users</t>
        </is>
      </c>
      <c r="K11" s="7" t="n"/>
      <c r="L11" s="6">
        <f>K11*$B$1</f>
        <v/>
      </c>
      <c r="M11" s="5">
        <f>IF(K11="","",K11-D11)</f>
        <v/>
      </c>
      <c r="N11" s="6">
        <f>IF(K11="","",L11-H11)</f>
        <v/>
      </c>
      <c r="O11" s="7" t="n"/>
    </row>
    <row r="12">
      <c r="A12" s="8" t="inlineStr">
        <is>
          <t>Training &amp; Adoption (End Users)</t>
        </is>
      </c>
      <c r="B12" s="8" t="inlineStr">
        <is>
          <t>Inside sales team (est. 6-10 reps across brands)</t>
        </is>
      </c>
      <c r="C12" s="8" t="n">
        <v>8</v>
      </c>
      <c r="D12" s="8" t="n">
        <v>12</v>
      </c>
      <c r="E12" s="8" t="n">
        <v>16</v>
      </c>
      <c r="F12" s="9">
        <f>$B$1</f>
        <v/>
      </c>
      <c r="G12" s="9">
        <f>C12*F12</f>
        <v/>
      </c>
      <c r="H12" s="9">
        <f>D12*F12</f>
        <v/>
      </c>
      <c r="I12" s="9">
        <f>E12*F12</f>
        <v/>
      </c>
      <c r="J12" s="8" t="inlineStr">
        <is>
          <t>Role-based training by product line</t>
        </is>
      </c>
      <c r="K12" s="8" t="n"/>
      <c r="L12" s="9">
        <f>K12*$B$1</f>
        <v/>
      </c>
      <c r="M12" s="8">
        <f>IF(K12="","",K12-D12)</f>
        <v/>
      </c>
      <c r="N12" s="9">
        <f>IF(K12="","",L12-H12)</f>
        <v/>
      </c>
      <c r="O12" s="8" t="n"/>
    </row>
    <row r="13">
      <c r="A13" s="5" t="inlineStr"/>
      <c r="B13" s="5" t="inlineStr"/>
      <c r="C13" s="5" t="n"/>
      <c r="D13" s="5" t="n"/>
      <c r="E13" s="5" t="n"/>
      <c r="F13" s="5" t="n"/>
      <c r="G13" s="5" t="n"/>
      <c r="H13" s="5" t="n"/>
      <c r="I13" s="5" t="n"/>
      <c r="J13" s="5" t="inlineStr"/>
      <c r="K13" s="5" t="n"/>
      <c r="L13" s="5" t="n"/>
      <c r="M13" s="5" t="n"/>
      <c r="N13" s="5" t="n"/>
      <c r="O13" s="5" t="n"/>
    </row>
    <row r="14">
      <c r="A14" s="4" t="inlineStr">
        <is>
          <t>ERP WORKSTREAMS</t>
        </is>
      </c>
      <c r="B14" s="4" t="inlineStr"/>
      <c r="C14" s="4" t="n"/>
      <c r="D14" s="4" t="n"/>
      <c r="E14" s="4" t="n"/>
      <c r="F14" s="4" t="n"/>
      <c r="G14" s="4" t="n"/>
      <c r="H14" s="4" t="n"/>
      <c r="I14" s="4" t="n"/>
      <c r="J14" s="4" t="inlineStr"/>
      <c r="K14" s="4" t="n"/>
      <c r="L14" s="4" t="n"/>
      <c r="M14" s="4" t="n"/>
      <c r="N14" s="4" t="n"/>
      <c r="O14" s="4" t="n"/>
    </row>
    <row r="15">
      <c r="A15" s="5" t="inlineStr">
        <is>
          <t>ERP Data Assessment</t>
        </is>
      </c>
      <c r="B15" s="5" t="inlineStr">
        <is>
          <t>Audit NetSuite data quality, Intuitive extraction feasibility, Atlas inventory; multi-subsidiary complexity</t>
        </is>
      </c>
      <c r="C15" s="5" t="n">
        <v>12</v>
      </c>
      <c r="D15" s="5" t="n">
        <v>18</v>
      </c>
      <c r="E15" s="5" t="n">
        <v>24</v>
      </c>
      <c r="F15" s="6">
        <f>$B$1</f>
        <v/>
      </c>
      <c r="G15" s="6">
        <f>C15*F15</f>
        <v/>
      </c>
      <c r="H15" s="6">
        <f>D15*F15</f>
        <v/>
      </c>
      <c r="I15" s="6">
        <f>E15*F15</f>
        <v/>
      </c>
      <c r="J15" s="5" t="inlineStr">
        <is>
          <t>Must complete before integration build</t>
        </is>
      </c>
      <c r="K15" s="7" t="n"/>
      <c r="L15" s="6">
        <f>K15*$B$1</f>
        <v/>
      </c>
      <c r="M15" s="5">
        <f>IF(K15="","",K15-D15)</f>
        <v/>
      </c>
      <c r="N15" s="6">
        <f>IF(K15="","",L15-H15)</f>
        <v/>
      </c>
      <c r="O15" s="7" t="n"/>
    </row>
    <row r="16">
      <c r="A16" s="8" t="inlineStr">
        <is>
          <t>Legacy Data Extraction (Intuitive)</t>
        </is>
      </c>
      <c r="B16" s="8" t="inlineStr">
        <is>
          <t>Extract, validate, transform; warranty + PO + product data</t>
        </is>
      </c>
      <c r="C16" s="8" t="n">
        <v>16</v>
      </c>
      <c r="D16" s="8" t="n">
        <v>28</v>
      </c>
      <c r="E16" s="8" t="n">
        <v>40</v>
      </c>
      <c r="F16" s="9">
        <f>$B$1</f>
        <v/>
      </c>
      <c r="G16" s="9">
        <f>C16*F16</f>
        <v/>
      </c>
      <c r="H16" s="9">
        <f>D16*F16</f>
        <v/>
      </c>
      <c r="I16" s="9">
        <f>E16*F16</f>
        <v/>
      </c>
      <c r="J16" s="8" t="inlineStr">
        <is>
          <t>Depends on Alexis back-end access; $25K fee risk</t>
        </is>
      </c>
      <c r="K16" s="8" t="n"/>
      <c r="L16" s="9">
        <f>K16*$B$1</f>
        <v/>
      </c>
      <c r="M16" s="8">
        <f>IF(K16="","",K16-D16)</f>
        <v/>
      </c>
      <c r="N16" s="9">
        <f>IF(K16="","",L16-H16)</f>
        <v/>
      </c>
      <c r="O16" s="8" t="n"/>
    </row>
    <row r="17">
      <c r="A17" s="5" t="inlineStr">
        <is>
          <t>NetSuite Data Cleanup</t>
        </is>
      </c>
      <c r="B17" s="5" t="inlineStr">
        <is>
          <t>Customer dedup across subsidiaries, SKU normalization, product data enrichment</t>
        </is>
      </c>
      <c r="C17" s="5" t="n">
        <v>12</v>
      </c>
      <c r="D17" s="5" t="n">
        <v>20</v>
      </c>
      <c r="E17" s="5" t="n">
        <v>32</v>
      </c>
      <c r="F17" s="6">
        <f>$B$1</f>
        <v/>
      </c>
      <c r="G17" s="6">
        <f>C17*F17</f>
        <v/>
      </c>
      <c r="H17" s="6">
        <f>D17*F17</f>
        <v/>
      </c>
      <c r="I17" s="6">
        <f>E17*F17</f>
        <v/>
      </c>
      <c r="J17" s="5" t="inlineStr">
        <is>
          <t>Data quality unknown; high variance</t>
        </is>
      </c>
      <c r="K17" s="7" t="n"/>
      <c r="L17" s="6">
        <f>K17*$B$1</f>
        <v/>
      </c>
      <c r="M17" s="5">
        <f>IF(K17="","",K17-D17)</f>
        <v/>
      </c>
      <c r="N17" s="6">
        <f>IF(K17="","",L17-H17)</f>
        <v/>
      </c>
      <c r="O17" s="7" t="n"/>
    </row>
    <row r="18">
      <c r="A18" s="8" t="inlineStr">
        <is>
          <t>Product Catalog Digitization</t>
        </is>
      </c>
      <c r="B18" s="8" t="inlineStr">
        <is>
          <t>Scope TBD -- depends on volume of legacy paper catalogs; may need AI/OCR</t>
        </is>
      </c>
      <c r="C18" s="8" t="n">
        <v>8</v>
      </c>
      <c r="D18" s="8" t="n">
        <v>16</v>
      </c>
      <c r="E18" s="8" t="n">
        <v>24</v>
      </c>
      <c r="F18" s="9">
        <f>$B$1</f>
        <v/>
      </c>
      <c r="G18" s="9">
        <f>C18*F18</f>
        <v/>
      </c>
      <c r="H18" s="9">
        <f>D18*F18</f>
        <v/>
      </c>
      <c r="I18" s="9">
        <f>E18*F18</f>
        <v/>
      </c>
      <c r="J18" s="8" t="inlineStr">
        <is>
          <t>MVP scope: high-volume SKUs only</t>
        </is>
      </c>
      <c r="K18" s="8" t="n"/>
      <c r="L18" s="9">
        <f>K18*$B$1</f>
        <v/>
      </c>
      <c r="M18" s="8">
        <f>IF(K18="","",K18-D18)</f>
        <v/>
      </c>
      <c r="N18" s="9">
        <f>IF(K18="","",L18-H18)</f>
        <v/>
      </c>
      <c r="O18" s="8" t="n"/>
    </row>
    <row r="19">
      <c r="A19" s="5" t="inlineStr">
        <is>
          <t>Atlas-to-NetSuite Migration</t>
        </is>
      </c>
      <c r="B19" s="5" t="inlineStr">
        <is>
          <t>CalTrend system; scope depends on what Atlas actually is</t>
        </is>
      </c>
      <c r="C19" s="5" t="n">
        <v>8</v>
      </c>
      <c r="D19" s="5" t="n">
        <v>14</v>
      </c>
      <c r="E19" s="5" t="n">
        <v>22</v>
      </c>
      <c r="F19" s="6">
        <f>$B$1</f>
        <v/>
      </c>
      <c r="G19" s="6">
        <f>C19*F19</f>
        <v/>
      </c>
      <c r="H19" s="6">
        <f>D19*F19</f>
        <v/>
      </c>
      <c r="I19" s="6">
        <f>E19*F19</f>
        <v/>
      </c>
      <c r="J19" s="5" t="inlineStr">
        <is>
          <t>Technical spec needed on follow-up call</t>
        </is>
      </c>
      <c r="K19" s="7" t="n"/>
      <c r="L19" s="6">
        <f>K19*$B$1</f>
        <v/>
      </c>
      <c r="M19" s="5">
        <f>IF(K19="","",K19-D19)</f>
        <v/>
      </c>
      <c r="N19" s="6">
        <f>IF(K19="","",L19-H19)</f>
        <v/>
      </c>
      <c r="O19" s="7" t="n"/>
    </row>
    <row r="20">
      <c r="A20" s="8" t="inlineStr">
        <is>
          <t>CRM-ERP Integration (HubSpot &lt;-&gt; NetSuite)</t>
        </is>
      </c>
      <c r="B20" s="8" t="inlineStr">
        <is>
          <t>Customer sync, product/SKU sync, order history read; direction and real-time vs batch TBD</t>
        </is>
      </c>
      <c r="C20" s="8" t="n">
        <v>18</v>
      </c>
      <c r="D20" s="8" t="n">
        <v>28</v>
      </c>
      <c r="E20" s="8" t="n">
        <v>40</v>
      </c>
      <c r="F20" s="9">
        <f>$B$1</f>
        <v/>
      </c>
      <c r="G20" s="9">
        <f>C20*F20</f>
        <v/>
      </c>
      <c r="H20" s="9">
        <f>D20*F20</f>
        <v/>
      </c>
      <c r="I20" s="9">
        <f>E20*F20</f>
        <v/>
      </c>
      <c r="J20" s="8" t="inlineStr">
        <is>
          <t>Read-only recommended initially</t>
        </is>
      </c>
      <c r="K20" s="8" t="n"/>
      <c r="L20" s="9">
        <f>K20*$B$1</f>
        <v/>
      </c>
      <c r="M20" s="8">
        <f>IF(K20="","",K20-D20)</f>
        <v/>
      </c>
      <c r="N20" s="9">
        <f>IF(K20="","",L20-H20)</f>
        <v/>
      </c>
      <c r="O20" s="8" t="n"/>
    </row>
    <row r="21">
      <c r="A21" s="5" t="inlineStr">
        <is>
          <t>SKU Cross-Reference Build</t>
        </is>
      </c>
      <c r="B21" s="5" t="inlineStr">
        <is>
          <t>Map equivalent SKUs across brands; depends on whether any reference exists today</t>
        </is>
      </c>
      <c r="C21" s="5" t="n">
        <v>6</v>
      </c>
      <c r="D21" s="5" t="n">
        <v>10</v>
      </c>
      <c r="E21" s="5" t="n">
        <v>16</v>
      </c>
      <c r="F21" s="6">
        <f>$B$1</f>
        <v/>
      </c>
      <c r="G21" s="6">
        <f>C21*F21</f>
        <v/>
      </c>
      <c r="H21" s="6">
        <f>D21*F21</f>
        <v/>
      </c>
      <c r="I21" s="6">
        <f>E21*F21</f>
        <v/>
      </c>
      <c r="J21" s="5" t="inlineStr">
        <is>
          <t>Manual build if no existing reference</t>
        </is>
      </c>
      <c r="K21" s="7" t="n"/>
      <c r="L21" s="6">
        <f>K21*$B$1</f>
        <v/>
      </c>
      <c r="M21" s="5">
        <f>IF(K21="","",K21-D21)</f>
        <v/>
      </c>
      <c r="N21" s="6">
        <f>IF(K21="","",L21-H21)</f>
        <v/>
      </c>
      <c r="O21" s="7" t="n"/>
    </row>
    <row r="22">
      <c r="A22" s="8" t="inlineStr"/>
      <c r="B22" s="8" t="inlineStr"/>
      <c r="C22" s="8" t="n"/>
      <c r="D22" s="8" t="n"/>
      <c r="E22" s="8" t="n"/>
      <c r="F22" s="8" t="n"/>
      <c r="G22" s="8" t="n"/>
      <c r="H22" s="8" t="n"/>
      <c r="I22" s="8" t="n"/>
      <c r="J22" s="8" t="inlineStr"/>
      <c r="K22" s="8" t="n"/>
      <c r="L22" s="8" t="n"/>
      <c r="M22" s="8" t="n"/>
      <c r="N22" s="8" t="n"/>
      <c r="O22" s="8" t="n"/>
    </row>
    <row r="23">
      <c r="A23" s="4" t="inlineStr">
        <is>
          <t>CROSS-CUTTING WORKSTREAMS</t>
        </is>
      </c>
      <c r="B23" s="4" t="inlineStr"/>
      <c r="C23" s="4" t="n"/>
      <c r="D23" s="4" t="n"/>
      <c r="E23" s="4" t="n"/>
      <c r="F23" s="4" t="n"/>
      <c r="G23" s="4" t="n"/>
      <c r="H23" s="4" t="n"/>
      <c r="I23" s="4" t="n"/>
      <c r="J23" s="4" t="inlineStr"/>
      <c r="K23" s="4" t="n"/>
      <c r="L23" s="4" t="n"/>
      <c r="M23" s="4" t="n"/>
      <c r="N23" s="4" t="n"/>
      <c r="O23" s="4" t="n"/>
    </row>
    <row r="24">
      <c r="A24" s="8" t="inlineStr">
        <is>
          <t>Project Management</t>
        </is>
      </c>
      <c r="B24" s="8" t="inlineStr">
        <is>
          <t>~12-15% of total; multi-stakeholder, concurrent CRM + ERP tracks</t>
        </is>
      </c>
      <c r="C24" s="8" t="n">
        <v>16</v>
      </c>
      <c r="D24" s="8" t="n">
        <v>24</v>
      </c>
      <c r="E24" s="8" t="n">
        <v>36</v>
      </c>
      <c r="F24" s="9">
        <f>$B$1</f>
        <v/>
      </c>
      <c r="G24" s="9">
        <f>C24*F24</f>
        <v/>
      </c>
      <c r="H24" s="9">
        <f>D24*F24</f>
        <v/>
      </c>
      <c r="I24" s="9">
        <f>E24*F24</f>
        <v/>
      </c>
      <c r="J24" s="8" t="inlineStr">
        <is>
          <t>Weekly syncs with CRM + ERP tracks</t>
        </is>
      </c>
      <c r="K24" s="8" t="n"/>
      <c r="L24" s="9">
        <f>K24*$B$1</f>
        <v/>
      </c>
      <c r="M24" s="8">
        <f>IF(K24="","",K24-D24)</f>
        <v/>
      </c>
      <c r="N24" s="9">
        <f>IF(K24="","",L24-H24)</f>
        <v/>
      </c>
      <c r="O24" s="8" t="n"/>
    </row>
    <row r="25">
      <c r="A25" s="5" t="inlineStr">
        <is>
          <t>UAT &amp; Testing</t>
        </is>
      </c>
      <c r="B25" s="5" t="inlineStr">
        <is>
          <t>CRM workflows, integration validation, data migration verification</t>
        </is>
      </c>
      <c r="C25" s="5" t="n">
        <v>8</v>
      </c>
      <c r="D25" s="5" t="n">
        <v>14</v>
      </c>
      <c r="E25" s="5" t="n">
        <v>20</v>
      </c>
      <c r="F25" s="6">
        <f>$B$1</f>
        <v/>
      </c>
      <c r="G25" s="6">
        <f>C25*F25</f>
        <v/>
      </c>
      <c r="H25" s="6">
        <f>D25*F25</f>
        <v/>
      </c>
      <c r="I25" s="6">
        <f>E25*F25</f>
        <v/>
      </c>
      <c r="J25" s="5" t="inlineStr">
        <is>
          <t>Includes test scripts and sign-off</t>
        </is>
      </c>
      <c r="K25" s="7" t="n"/>
      <c r="L25" s="6">
        <f>K25*$B$1</f>
        <v/>
      </c>
      <c r="M25" s="5">
        <f>IF(K25="","",K25-D25)</f>
        <v/>
      </c>
      <c r="N25" s="6">
        <f>IF(K25="","",L25-H25)</f>
        <v/>
      </c>
      <c r="O25" s="7" t="n"/>
    </row>
    <row r="26">
      <c r="A26" s="8" t="inlineStr">
        <is>
          <t>Documentation &amp; SOPs</t>
        </is>
      </c>
      <c r="B26" s="8" t="inlineStr">
        <is>
          <t>Process docs, admin guide, integration runbook</t>
        </is>
      </c>
      <c r="C26" s="8" t="n">
        <v>6</v>
      </c>
      <c r="D26" s="8" t="n">
        <v>8</v>
      </c>
      <c r="E26" s="8" t="n">
        <v>12</v>
      </c>
      <c r="F26" s="9">
        <f>$B$1</f>
        <v/>
      </c>
      <c r="G26" s="9">
        <f>C26*F26</f>
        <v/>
      </c>
      <c r="H26" s="9">
        <f>D26*F26</f>
        <v/>
      </c>
      <c r="I26" s="9">
        <f>E26*F26</f>
        <v/>
      </c>
      <c r="J26" s="8" t="inlineStr"/>
      <c r="K26" s="8" t="n"/>
      <c r="L26" s="9">
        <f>K26*$B$1</f>
        <v/>
      </c>
      <c r="M26" s="8">
        <f>IF(K26="","",K26-D26)</f>
        <v/>
      </c>
      <c r="N26" s="9">
        <f>IF(K26="","",L26-H26)</f>
        <v/>
      </c>
      <c r="O26" s="8" t="n"/>
    </row>
    <row r="27">
      <c r="A27" s="5" t="inlineStr">
        <is>
          <t>Go-Live &amp; Hypercare</t>
        </is>
      </c>
      <c r="B27" s="5" t="inlineStr">
        <is>
          <t>2-week post-launch support</t>
        </is>
      </c>
      <c r="C27" s="5" t="n">
        <v>6</v>
      </c>
      <c r="D27" s="5" t="n">
        <v>10</v>
      </c>
      <c r="E27" s="5" t="n">
        <v>14</v>
      </c>
      <c r="F27" s="6">
        <f>$B$1</f>
        <v/>
      </c>
      <c r="G27" s="6">
        <f>C27*F27</f>
        <v/>
      </c>
      <c r="H27" s="6">
        <f>D27*F27</f>
        <v/>
      </c>
      <c r="I27" s="6">
        <f>E27*F27</f>
        <v/>
      </c>
      <c r="J27" s="5" t="inlineStr"/>
      <c r="K27" s="7" t="n"/>
      <c r="L27" s="6">
        <f>K27*$B$1</f>
        <v/>
      </c>
      <c r="M27" s="5">
        <f>IF(K27="","",K27-D27)</f>
        <v/>
      </c>
      <c r="N27" s="6">
        <f>IF(K27="","",L27-H27)</f>
        <v/>
      </c>
      <c r="O27" s="7" t="n"/>
    </row>
    <row r="28">
      <c r="A28" s="10" t="inlineStr">
        <is>
          <t>TOTAL</t>
        </is>
      </c>
      <c r="B28" s="10" t="n"/>
      <c r="C28" s="10">
        <f>C5+C6+C7+C8+C9+C10+C11+C12+C15+C16+C17+C18+C19+C20+C21+C24+C25+C26+C27</f>
        <v/>
      </c>
      <c r="D28" s="10">
        <f>D5+D6+D7+D8+D9+D10+D11+D12+D15+D16+D17+D18+D19+D20+D21+D24+D25+D26+D27</f>
        <v/>
      </c>
      <c r="E28" s="10">
        <f>E5+E6+E7+E8+E9+E10+E11+E12+E15+E16+E17+E18+E19+E20+E21+E24+E25+E26+E27</f>
        <v/>
      </c>
      <c r="F28" s="11">
        <f>$B$1</f>
        <v/>
      </c>
      <c r="G28" s="11">
        <f>C28*F28</f>
        <v/>
      </c>
      <c r="H28" s="11">
        <f>D28*F28</f>
        <v/>
      </c>
      <c r="I28" s="11">
        <f>E28*F28</f>
        <v/>
      </c>
      <c r="J28" s="10" t="n"/>
      <c r="K28" s="10">
        <f>IF(COUNTA(K5,K6,K7,K8,K9,K10,K11,K12,K15,K16,K17,K18,K19,K20,K21,K24,K25,K26,K27)=0,"",K5+K6+K7+K8+K9+K10+K11+K12+K15+K16+K17+K18+K19+K20+K21+K24+K25+K26+K27)</f>
        <v/>
      </c>
      <c r="L28" s="11">
        <f>IF(K28="","",K28*$B$1)</f>
        <v/>
      </c>
      <c r="M28" s="10">
        <f>IF(K28="","",K28-D28)</f>
        <v/>
      </c>
      <c r="N28" s="11">
        <f>IF(K28="","",L28-H28)</f>
        <v/>
      </c>
      <c r="O28" s="10"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2" customWidth="1" min="3" max="3"/>
    <col width="12" customWidth="1" min="4" max="4"/>
    <col width="50" customWidth="1" min="5" max="5"/>
    <col width="55" customWidth="1" min="6" max="6"/>
    <col width="30" customWidth="1" min="7" max="7"/>
    <col width="10" customWidth="1" min="8" max="8"/>
  </cols>
  <sheetData>
    <row r="1">
      <c r="A1" s="3" t="inlineStr">
        <is>
          <t>#</t>
        </is>
      </c>
      <c r="B1" s="3" t="inlineStr">
        <is>
          <t>Risk</t>
        </is>
      </c>
      <c r="C1" s="3" t="inlineStr">
        <is>
          <t>Severity</t>
        </is>
      </c>
      <c r="D1" s="3" t="inlineStr">
        <is>
          <t>Likelihood</t>
        </is>
      </c>
      <c r="E1" s="3" t="inlineStr">
        <is>
          <t>Impact</t>
        </is>
      </c>
      <c r="F1" s="3" t="inlineStr">
        <is>
          <t>Mitigation</t>
        </is>
      </c>
      <c r="G1" s="3" t="inlineStr">
        <is>
          <t>Owner</t>
        </is>
      </c>
      <c r="H1" s="3" t="inlineStr">
        <is>
          <t>Status</t>
        </is>
      </c>
    </row>
    <row r="2">
      <c r="A2" s="8" t="n">
        <v>1</v>
      </c>
      <c r="B2" s="8" t="inlineStr">
        <is>
          <t>Legacy ERP (Intuitive) data extraction fails or yields unusable data</t>
        </is>
      </c>
      <c r="C2" s="12" t="inlineStr">
        <is>
          <t>HIGH</t>
        </is>
      </c>
      <c r="D2" s="8" t="inlineStr">
        <is>
          <t>Medium</t>
        </is>
      </c>
      <c r="E2" s="8" t="inlineStr">
        <is>
          <t>CRM loses historical context; warranty processing breaks</t>
        </is>
      </c>
      <c r="F2" s="8" t="inlineStr">
        <is>
          <t>Validate Alexis extraction method early; POC before committing hours</t>
        </is>
      </c>
      <c r="G2" s="8" t="inlineStr">
        <is>
          <t>Client (Alexis) / Sayer (Terry)</t>
        </is>
      </c>
      <c r="H2" s="8" t="inlineStr">
        <is>
          <t>Open</t>
        </is>
      </c>
    </row>
    <row r="3">
      <c r="A3" s="5" t="n">
        <v>2</v>
      </c>
      <c r="B3" s="5" t="inlineStr">
        <is>
          <t>NetSuite data quality worse than expected (duplicates, incomplete records)</t>
        </is>
      </c>
      <c r="C3" s="12" t="inlineStr">
        <is>
          <t>HIGH</t>
        </is>
      </c>
      <c r="D3" s="5" t="inlineStr">
        <is>
          <t>High</t>
        </is>
      </c>
      <c r="E3" s="5" t="inlineStr">
        <is>
          <t>Integration mapping breaks; CRM shows bad data; reps lose trust</t>
        </is>
      </c>
      <c r="F3" s="5" t="inlineStr">
        <is>
          <t>Data assessment phase first; define "good enough" threshold before integration</t>
        </is>
      </c>
      <c r="G3" s="5" t="inlineStr">
        <is>
          <t>Client (Ismail) / Sayer</t>
        </is>
      </c>
      <c r="H3" s="5" t="inlineStr">
        <is>
          <t>Open</t>
        </is>
      </c>
    </row>
    <row r="4">
      <c r="A4" s="8" t="n">
        <v>3</v>
      </c>
      <c r="B4" s="8" t="inlineStr">
        <is>
          <t>$25K Intuitive export fee becomes unavoidable</t>
        </is>
      </c>
      <c r="C4" s="13" t="inlineStr">
        <is>
          <t>MEDIUM</t>
        </is>
      </c>
      <c r="D4" s="8" t="inlineStr">
        <is>
          <t>Medium</t>
        </is>
      </c>
      <c r="E4" s="8" t="inlineStr">
        <is>
          <t>Unbudgeted cost; delays timeline if approval needed</t>
        </is>
      </c>
      <c r="F4" s="8" t="inlineStr">
        <is>
          <t>Confirm Alexis workaround first; if fails, build business case against monthly license cost</t>
        </is>
      </c>
      <c r="G4" s="8" t="inlineStr">
        <is>
          <t>Client (Stephanie)</t>
        </is>
      </c>
      <c r="H4" s="8" t="inlineStr">
        <is>
          <t>Open</t>
        </is>
      </c>
    </row>
    <row r="5">
      <c r="A5" s="5" t="n">
        <v>4</v>
      </c>
      <c r="B5" s="5" t="inlineStr">
        <is>
          <t>Atlas system more complex than described</t>
        </is>
      </c>
      <c r="C5" s="13" t="inlineStr">
        <is>
          <t>MEDIUM</t>
        </is>
      </c>
      <c r="D5" s="5" t="inlineStr">
        <is>
          <t>Medium</t>
        </is>
      </c>
      <c r="E5" s="5" t="inlineStr">
        <is>
          <t>Migration scope balloons; blocks CalTrend data in CRM</t>
        </is>
      </c>
      <c r="F5" s="5" t="inlineStr">
        <is>
          <t>Get Atlas technical spec on follow-up call; scope separately if needed</t>
        </is>
      </c>
      <c r="G5" s="5" t="inlineStr">
        <is>
          <t>Client</t>
        </is>
      </c>
      <c r="H5" s="5" t="inlineStr">
        <is>
          <t>Open</t>
        </is>
      </c>
    </row>
    <row r="6">
      <c r="A6" s="8" t="n">
        <v>5</v>
      </c>
      <c r="B6" s="8" t="inlineStr">
        <is>
          <t>Product catalog digitization scope explodes</t>
        </is>
      </c>
      <c r="C6" s="13" t="inlineStr">
        <is>
          <t>MEDIUM</t>
        </is>
      </c>
      <c r="D6" s="8" t="inlineStr">
        <is>
          <t>High</t>
        </is>
      </c>
      <c r="E6" s="8" t="inlineStr">
        <is>
          <t>Hundreds of pages of legacy catalogs; AI/OCR quality issues</t>
        </is>
      </c>
      <c r="F6" s="8" t="inlineStr">
        <is>
          <t>Define MVP catalog scope (most-ordered SKUs only); defer deep archive to Phase 2</t>
        </is>
      </c>
      <c r="G6" s="8" t="inlineStr">
        <is>
          <t>Client / Sayer</t>
        </is>
      </c>
      <c r="H6" s="8" t="inlineStr">
        <is>
          <t>Open</t>
        </is>
      </c>
    </row>
    <row r="7">
      <c r="A7" s="5" t="n">
        <v>6</v>
      </c>
      <c r="B7" s="5" t="inlineStr">
        <is>
          <t>Multi-subsidiary NetSuite structure complicates integration</t>
        </is>
      </c>
      <c r="C7" s="12" t="inlineStr">
        <is>
          <t>HIGH</t>
        </is>
      </c>
      <c r="D7" s="5" t="inlineStr">
        <is>
          <t>High</t>
        </is>
      </c>
      <c r="E7" s="5" t="inlineStr">
        <is>
          <t>API calls multiply per subsidiary; customer matching logic complex</t>
        </is>
      </c>
      <c r="F7" s="5" t="inlineStr">
        <is>
          <t>Map subsidiary structure on follow-up call; design integration per-subsidiary vs. consolidated</t>
        </is>
      </c>
      <c r="G7" s="5" t="inlineStr">
        <is>
          <t>Sayer (Terry/Shafi)</t>
        </is>
      </c>
      <c r="H7" s="5" t="inlineStr">
        <is>
          <t>Open</t>
        </is>
      </c>
    </row>
    <row r="8">
      <c r="A8" s="8" t="n">
        <v>7</v>
      </c>
      <c r="B8" s="8" t="inlineStr">
        <is>
          <t>Scope creep due to close relationships</t>
        </is>
      </c>
      <c r="C8" s="13" t="inlineStr">
        <is>
          <t>MEDIUM</t>
        </is>
      </c>
      <c r="D8" s="8" t="inlineStr">
        <is>
          <t>Medium</t>
        </is>
      </c>
      <c r="E8" s="8" t="inlineStr">
        <is>
          <t>Informal "can you also..." requests expand scope without CO</t>
        </is>
      </c>
      <c r="F8" s="8" t="inlineStr">
        <is>
          <t>SOW signed by budget authority; change order process defined upfront</t>
        </is>
      </c>
      <c r="G8" s="8" t="inlineStr">
        <is>
          <t>Sayer (Cameron)</t>
        </is>
      </c>
      <c r="H8" s="8" t="inlineStr">
        <is>
          <t>Open</t>
        </is>
      </c>
    </row>
    <row r="9">
      <c r="A9" s="5" t="n">
        <v>8</v>
      </c>
      <c r="B9" s="5" t="inlineStr">
        <is>
          <t>CRM-ERP integration direction undefined</t>
        </is>
      </c>
      <c r="C9" s="12" t="inlineStr">
        <is>
          <t>HIGH</t>
        </is>
      </c>
      <c r="D9" s="5" t="inlineStr">
        <is>
          <t>High</t>
        </is>
      </c>
      <c r="E9" s="5" t="inlineStr">
        <is>
          <t>Bidirectional sync (orders in HubSpot) = 2x complexity vs. read-only</t>
        </is>
      </c>
      <c r="F9" s="5" t="inlineStr">
        <is>
          <t>Clarify on follow-up call; recommend read-only from NetSuite initially</t>
        </is>
      </c>
      <c r="G9" s="5" t="inlineStr">
        <is>
          <t>Client / Sayer</t>
        </is>
      </c>
      <c r="H9" s="5" t="inlineStr">
        <is>
          <t>Open</t>
        </is>
      </c>
    </row>
    <row r="10">
      <c r="A10" s="8" t="n">
        <v>9</v>
      </c>
      <c r="B10" s="8" t="inlineStr">
        <is>
          <t>Internal resource contention (Alexis, Ismail, sales manager)</t>
        </is>
      </c>
      <c r="C10" s="13" t="inlineStr">
        <is>
          <t>MEDIUM</t>
        </is>
      </c>
      <c r="D10" s="8" t="inlineStr">
        <is>
          <t>High</t>
        </is>
      </c>
      <c r="E10" s="8" t="inlineStr">
        <is>
          <t>Key people pulled to other priorities; project stalls</t>
        </is>
      </c>
      <c r="F10" s="8" t="inlineStr">
        <is>
          <t>Define time commitment upfront; get executive sponsorship from Stephanie</t>
        </is>
      </c>
      <c r="G10" s="8" t="inlineStr">
        <is>
          <t>Client (Stephanie)</t>
        </is>
      </c>
      <c r="H10" s="8" t="inlineStr">
        <is>
          <t>Open</t>
        </is>
      </c>
    </row>
    <row r="11">
      <c r="A11" s="5" t="n">
        <v>10</v>
      </c>
      <c r="B11" s="5" t="inlineStr">
        <is>
          <t>Data architecture decision (warehouse vs. direct) delays integration</t>
        </is>
      </c>
      <c r="C11" s="13" t="inlineStr">
        <is>
          <t>MEDIUM</t>
        </is>
      </c>
      <c r="D11" s="5" t="inlineStr">
        <is>
          <t>Medium</t>
        </is>
      </c>
      <c r="E11" s="5" t="inlineStr">
        <is>
          <t>Cannot build integration without knowing target architecture</t>
        </is>
      </c>
      <c r="F11" s="5" t="inlineStr">
        <is>
          <t>Force decision on follow-up call; recommend direct integration first, warehouse later</t>
        </is>
      </c>
      <c r="G11" s="5" t="inlineStr">
        <is>
          <t>Client (Billy) / Sayer</t>
        </is>
      </c>
      <c r="H11" s="5" t="inlineStr">
        <is>
          <t>Open</t>
        </is>
      </c>
    </row>
    <row r="12">
      <c r="A12" s="8" t="n">
        <v>11</v>
      </c>
      <c r="B12" s="8" t="inlineStr">
        <is>
          <t>ERP readiness gates CRM value</t>
        </is>
      </c>
      <c r="C12" s="12" t="inlineStr">
        <is>
          <t>HIGH</t>
        </is>
      </c>
      <c r="D12" s="8" t="inlineStr">
        <is>
          <t>High</t>
        </is>
      </c>
      <c r="E12" s="8" t="inlineStr">
        <is>
          <t>CRM launches without product/order data; adoption suffers</t>
        </is>
      </c>
      <c r="F12" s="8" t="inlineStr">
        <is>
          <t>Concurrent tracks; define minimum viable CRM that works without ERP data</t>
        </is>
      </c>
      <c r="G12" s="8" t="inlineStr">
        <is>
          <t>Sayer / Client</t>
        </is>
      </c>
      <c r="H12" s="8" t="inlineStr">
        <is>
          <t>Open</t>
        </is>
      </c>
    </row>
    <row r="13">
      <c r="A13" s="5" t="n">
        <v>12</v>
      </c>
      <c r="B13" s="5" t="inlineStr">
        <is>
          <t>User adoption resistance</t>
        </is>
      </c>
      <c r="C13" s="13" t="inlineStr">
        <is>
          <t>MEDIUM</t>
        </is>
      </c>
      <c r="D13" s="5" t="inlineStr">
        <is>
          <t>Medium</t>
        </is>
      </c>
      <c r="E13" s="5" t="inlineStr">
        <is>
          <t>Reps revert to paper notes and NetSuite-only workflow</t>
        </is>
      </c>
      <c r="F13" s="5" t="inlineStr">
        <is>
          <t>Involve sales manager early; quick wins first; training tailored to daily workflows</t>
        </is>
      </c>
      <c r="G13" s="5" t="inlineStr">
        <is>
          <t>Client (Stephanie/Sales Mgr)</t>
        </is>
      </c>
      <c r="H13" s="5"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5" customWidth="1" min="1" max="1"/>
    <col width="90" customWidth="1" min="2" max="2"/>
  </cols>
  <sheetData>
    <row r="1">
      <c r="A1" s="14" t="inlineStr">
        <is>
          <t>SCOPE ASSUMPTIONS</t>
        </is>
      </c>
      <c r="B1" s="15" t="n"/>
    </row>
    <row r="2">
      <c r="A2" s="16" t="n">
        <v>1</v>
      </c>
      <c r="B2" s="8" t="inlineStr">
        <is>
          <t>HubSpot Sales Hub Professional is the recommended tier (workflows, multiple pipelines, custom reporting)</t>
        </is>
      </c>
    </row>
    <row r="3">
      <c r="A3" s="17" t="n">
        <v>2</v>
      </c>
      <c r="B3" s="5" t="inlineStr">
        <is>
          <t>6-10 inside sales/CSR users plus 2-3 admin users</t>
        </is>
      </c>
    </row>
    <row r="4">
      <c r="A4" s="16" t="n">
        <v>3</v>
      </c>
      <c r="B4" s="8" t="inlineStr">
        <is>
          <t>NetSuite is and remains the ERP source of truth</t>
        </is>
      </c>
    </row>
    <row r="5">
      <c r="A5" s="17" t="n">
        <v>4</v>
      </c>
      <c r="B5" s="5" t="inlineStr">
        <is>
          <t>Alexis can provide structured data exports from Intuitive without paying the $25K fee</t>
        </is>
      </c>
    </row>
    <row r="6">
      <c r="A6" s="16" t="n">
        <v>5</v>
      </c>
      <c r="B6" s="8" t="inlineStr">
        <is>
          <t>Product catalog digitization is limited to high-priority/high-volume SKUs (MVP scope)</t>
        </is>
      </c>
    </row>
    <row r="7">
      <c r="A7" s="17" t="n">
        <v>6</v>
      </c>
      <c r="B7" s="5" t="inlineStr">
        <is>
          <t>Integration is initially read-only from NetSuite to HubSpot (customer, product, order history)</t>
        </is>
      </c>
    </row>
    <row r="8">
      <c r="A8" s="16" t="n">
        <v>7</v>
      </c>
      <c r="B8" s="8" t="inlineStr">
        <is>
          <t>Up to 30 custom properties in HubSpot; overages are change orders</t>
        </is>
      </c>
    </row>
    <row r="9">
      <c r="A9" s="17" t="n">
        <v>8</v>
      </c>
      <c r="B9" s="5" t="inlineStr">
        <is>
          <t>Client provides dedicated resources (Alexis, Ismail, sales manager) for weekly syncs</t>
        </is>
      </c>
    </row>
    <row r="10">
      <c r="A10" s="16" t="n">
        <v>9</v>
      </c>
      <c r="B10" s="8" t="inlineStr">
        <is>
          <t>Rate: $150/hr</t>
        </is>
      </c>
    </row>
    <row r="12">
      <c r="A12" s="14" t="inlineStr">
        <is>
          <t>OUT OF SCOPE (EXCLUSIONS)</t>
        </is>
      </c>
      <c r="B12" s="15" t="n"/>
    </row>
    <row r="13">
      <c r="A13" s="17" t="n">
        <v>1</v>
      </c>
      <c r="B13" s="5" t="inlineStr">
        <is>
          <t>Phone/VoIP system replacement (Nextiva) -- separate phase</t>
        </is>
      </c>
    </row>
    <row r="14">
      <c r="A14" s="16" t="n">
        <v>2</v>
      </c>
      <c r="B14" s="8" t="inlineStr">
        <is>
          <t>Marketing automation (Klaviyo replacement/HubSpot Marketing Hub) -- separate phase</t>
        </is>
      </c>
    </row>
    <row r="15">
      <c r="A15" s="17" t="n">
        <v>3</v>
      </c>
      <c r="B15" s="5" t="inlineStr">
        <is>
          <t>E-commerce platform consolidation (Magento/WooCommerce) -- 2027-2028 per client</t>
        </is>
      </c>
    </row>
    <row r="16">
      <c r="A16" s="16" t="n">
        <v>4</v>
      </c>
      <c r="B16" s="8" t="inlineStr">
        <is>
          <t>NetSuite reimplementation or new module deployment</t>
        </is>
      </c>
    </row>
    <row r="17">
      <c r="A17" s="17" t="n">
        <v>5</v>
      </c>
      <c r="B17" s="5" t="inlineStr">
        <is>
          <t>Full legacy catalog digitization (beyond MVP SKU set)</t>
        </is>
      </c>
    </row>
    <row r="18">
      <c r="A18" s="16" t="n">
        <v>6</v>
      </c>
      <c r="B18" s="8" t="inlineStr">
        <is>
          <t>Custom self-service pricing portal development</t>
        </is>
      </c>
    </row>
    <row r="19">
      <c r="A19" s="17" t="n">
        <v>7</v>
      </c>
      <c r="B19" s="5" t="inlineStr">
        <is>
          <t>Ongoing NetSuite administration or support</t>
        </is>
      </c>
    </row>
    <row r="21">
      <c r="A21" s="14" t="inlineStr">
        <is>
          <t>CLIENT RESPONSIBILITIES</t>
        </is>
      </c>
      <c r="B21" s="15" t="n"/>
    </row>
    <row r="22">
      <c r="A22" s="16" t="n">
        <v>1</v>
      </c>
      <c r="B22" s="8" t="inlineStr">
        <is>
          <t>Provide NetSuite admin access for data assessment</t>
        </is>
      </c>
    </row>
    <row r="23">
      <c r="A23" s="17" t="n">
        <v>2</v>
      </c>
      <c r="B23" s="5" t="inlineStr">
        <is>
          <t>Alexis to complete Intuitive data extraction POC before integration build begins</t>
        </is>
      </c>
    </row>
    <row r="24">
      <c r="A24" s="16" t="n">
        <v>3</v>
      </c>
      <c r="B24" s="8" t="inlineStr">
        <is>
          <t>Designate sales manager as primary subject matter expert (minimum 4 hrs/week)</t>
        </is>
      </c>
    </row>
    <row r="25">
      <c r="A25" s="17" t="n">
        <v>4</v>
      </c>
      <c r="B25" s="5" t="inlineStr">
        <is>
          <t>Stephanie to approve pipeline stages, property lists, and workflow logic</t>
        </is>
      </c>
    </row>
    <row r="26">
      <c r="A26" s="16" t="n">
        <v>5</v>
      </c>
      <c r="B26" s="8" t="inlineStr">
        <is>
          <t>Provide brand/subsidiary mapping documentation</t>
        </is>
      </c>
    </row>
    <row r="27">
      <c r="A27" s="17" t="n">
        <v>6</v>
      </c>
      <c r="B27" s="5" t="inlineStr">
        <is>
          <t>Decision on data architecture approach (warehouse vs. direct) before integration build</t>
        </is>
      </c>
    </row>
    <row r="29">
      <c r="A29" s="14" t="inlineStr">
        <is>
          <t>OPEN ITEMS (MUST RESOLVE BEFORE FINALIZING SCOPE)</t>
        </is>
      </c>
      <c r="B29" s="15" t="n"/>
    </row>
    <row r="30">
      <c r="A30" s="16" t="n">
        <v>1</v>
      </c>
      <c r="B30" s="8" t="inlineStr">
        <is>
          <t>What data entities live exclusively in Intuitive that are still actively referenced?</t>
        </is>
      </c>
    </row>
    <row r="31">
      <c r="A31" s="17" t="n">
        <v>2</v>
      </c>
      <c r="B31" s="5" t="inlineStr">
        <is>
          <t>Can Alexis export structured data from Intuitive (CSV/SQL dump)?</t>
        </is>
      </c>
    </row>
    <row r="32">
      <c r="A32" s="16" t="n">
        <v>3</v>
      </c>
      <c r="B32" s="8" t="inlineStr">
        <is>
          <t>Monthly license cost for Intuitive (business case for $25K export fee)?</t>
        </is>
      </c>
    </row>
    <row r="33">
      <c r="A33" s="17" t="n">
        <v>4</v>
      </c>
      <c r="B33" s="5" t="inlineStr">
        <is>
          <t>How many NetSuite subsidiaries, and which brands map to each?</t>
        </is>
      </c>
    </row>
    <row r="34">
      <c r="A34" s="16" t="n">
        <v>5</v>
      </c>
      <c r="B34" s="8" t="inlineStr">
        <is>
          <t>NetSuite edition and module access (SuiteAnalytics, SuiteTalk/REST API)?</t>
        </is>
      </c>
    </row>
    <row r="35">
      <c r="A35" s="17" t="n">
        <v>6</v>
      </c>
      <c r="B35" s="5" t="inlineStr">
        <is>
          <t>Current NetSuite data quality assessment (dedup status, completeness)?</t>
        </is>
      </c>
    </row>
    <row r="36">
      <c r="A36" s="16" t="n">
        <v>7</v>
      </c>
      <c r="B36" s="8" t="inlineStr">
        <is>
          <t>What exactly is Atlas? (Custom app, database, SaaS tool?)</t>
        </is>
      </c>
    </row>
    <row r="37">
      <c r="A37" s="17" t="n">
        <v>8</v>
      </c>
      <c r="B37" s="5" t="inlineStr">
        <is>
          <t>Active SKU count across all brands/subsidiaries?</t>
        </is>
      </c>
    </row>
    <row r="38">
      <c r="A38" s="16" t="n">
        <v>9</v>
      </c>
      <c r="B38" s="8" t="inlineStr">
        <is>
          <t>Existing SKU cross-reference table or reps rely on memory?</t>
        </is>
      </c>
    </row>
    <row r="39">
      <c r="A39" s="17" t="n">
        <v>10</v>
      </c>
      <c r="B39" s="5" t="inlineStr">
        <is>
          <t>Where does fitment data (year-make-model) live today?</t>
        </is>
      </c>
    </row>
    <row r="40">
      <c r="A40" s="16" t="n">
        <v>11</v>
      </c>
      <c r="B40" s="8" t="inlineStr">
        <is>
          <t>Legacy paper catalog volume (pages/catalogs)?</t>
        </is>
      </c>
    </row>
    <row r="41">
      <c r="A41" s="17" t="n">
        <v>12</v>
      </c>
      <c r="B41" s="5" t="inlineStr">
        <is>
          <t>Data warehouse vs. direct integration decision (Billy's leaning)?</t>
        </is>
      </c>
    </row>
    <row r="42">
      <c r="A42" s="16" t="n">
        <v>13</v>
      </c>
      <c r="B42" s="8" t="inlineStr">
        <is>
          <t>Current BI/reporting tools in use (Ismail)?</t>
        </is>
      </c>
    </row>
    <row r="43">
      <c r="A43" s="17" t="n">
        <v>14</v>
      </c>
      <c r="B43" s="5" t="inlineStr">
        <is>
          <t>Middleware connecting web stores to NetSuite?</t>
        </is>
      </c>
    </row>
    <row r="44">
      <c r="A44" s="16" t="n">
        <v>15</v>
      </c>
      <c r="B44" s="8" t="inlineStr">
        <is>
          <t>Priority ranking: what data flows from NetSuite to HubSpot?</t>
        </is>
      </c>
    </row>
    <row r="45">
      <c r="A45" s="17" t="n">
        <v>16</v>
      </c>
      <c r="B45" s="5" t="inlineStr">
        <is>
          <t>Order entry in HubSpot or NetSuite only (read-only vs. bidirectional)?</t>
        </is>
      </c>
    </row>
    <row r="46">
      <c r="A46" s="16" t="n">
        <v>17</v>
      </c>
      <c r="B46" s="8" t="inlineStr">
        <is>
          <t>Customer record mapping: one HubSpot company per subsidiary or parent account?</t>
        </is>
      </c>
    </row>
    <row r="47">
      <c r="A47" s="17" t="n">
        <v>18</v>
      </c>
      <c r="B47" s="5" t="inlineStr">
        <is>
          <t>Minimum viable CRM if ERP cleanup takes longer than expected?</t>
        </is>
      </c>
    </row>
    <row r="48">
      <c r="A48" s="16" t="n">
        <v>19</v>
      </c>
      <c r="B48" s="8" t="inlineStr">
        <is>
          <t>Realistic timeline expectation for ERP data readiness?</t>
        </is>
      </c>
    </row>
    <row r="49">
      <c r="A49" s="17" t="n">
        <v>20</v>
      </c>
      <c r="B49" s="5" t="inlineStr">
        <is>
          <t>See full ERP Clarifying Questions document (22 items with routing)</t>
        </is>
      </c>
    </row>
  </sheetData>
  <mergeCells count="4">
    <mergeCell ref="A29:B29"/>
    <mergeCell ref="A21:B21"/>
    <mergeCell ref="A1:B1"/>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55" customWidth="1" min="3" max="3"/>
  </cols>
  <sheetData>
    <row r="1">
      <c r="A1" s="3" t="inlineStr">
        <is>
          <t>Dimension</t>
        </is>
      </c>
      <c r="B1" s="3" t="inlineStr">
        <is>
          <t>Approach A: Concurrent (CRM + ERP in parallel)</t>
        </is>
      </c>
      <c r="C1" s="3" t="inlineStr">
        <is>
          <t>Approach B: Phased (CRM first, then ERP integration)</t>
        </is>
      </c>
    </row>
    <row r="2">
      <c r="A2" s="8" t="inlineStr">
        <is>
          <t>Total Hours</t>
        </is>
      </c>
      <c r="B2" s="8" t="inlineStr">
        <is>
          <t>192-434 hrs (median 304)</t>
        </is>
      </c>
      <c r="C2" s="8" t="inlineStr">
        <is>
          <t>Phase 1: 100-170 hrs + Phase 2: 110-280 hrs</t>
        </is>
      </c>
    </row>
    <row r="3">
      <c r="A3" s="5" t="inlineStr">
        <is>
          <t>Total Cost</t>
        </is>
      </c>
      <c r="B3" s="5" t="inlineStr">
        <is>
          <t>$28,800-$65,100</t>
        </is>
      </c>
      <c r="C3" s="5" t="inlineStr">
        <is>
          <t>Phase 1: $15,000-$25,500 + Phase 2: $16,500-$42,000</t>
        </is>
      </c>
    </row>
    <row r="4">
      <c r="A4" s="8" t="inlineStr">
        <is>
          <t>Timeline</t>
        </is>
      </c>
      <c r="B4" s="8" t="inlineStr">
        <is>
          <t>10-14 weeks</t>
        </is>
      </c>
      <c r="C4" s="8" t="inlineStr">
        <is>
          <t>Phase 1: 6-8 weeks + Phase 2: 6-10 weeks</t>
        </is>
      </c>
    </row>
    <row r="5">
      <c r="A5" s="5" t="inlineStr">
        <is>
          <t>Risk Level</t>
        </is>
      </c>
      <c r="B5" s="5" t="inlineStr">
        <is>
          <t>Medium-High (dependencies between tracks)</t>
        </is>
      </c>
      <c r="C5" s="5" t="inlineStr">
        <is>
          <t>Lower per phase (CRM standalone has value)</t>
        </is>
      </c>
    </row>
    <row r="6">
      <c r="A6" s="8" t="inlineStr">
        <is>
          <t>Key Advantage</t>
        </is>
      </c>
      <c r="B6" s="8" t="inlineStr">
        <is>
          <t>Faster to full value; single go-live; ERP data ready when CRM launches</t>
        </is>
      </c>
      <c r="C6" s="8" t="inlineStr">
        <is>
          <t>Lower initial investment; CRM delivers value immediately; ERP unknowns don't block CRM</t>
        </is>
      </c>
    </row>
    <row r="7">
      <c r="A7" s="5" t="inlineStr">
        <is>
          <t>Key Disadvantage</t>
        </is>
      </c>
      <c r="B7" s="5" t="inlineStr">
        <is>
          <t>ERP delays block CRM launch; higher burn rate; more stakeholder coordination</t>
        </is>
      </c>
      <c r="C7" s="5" t="inlineStr">
        <is>
          <t>Longer total timeline; temporary manual bridges; two change management events</t>
        </is>
      </c>
    </row>
    <row r="8">
      <c r="A8" s="8" t="inlineStr">
        <is>
          <t>Dependencies</t>
        </is>
      </c>
      <c r="B8" s="8" t="inlineStr">
        <is>
          <t>Alexis + Ismail availability for both tracks simultaneously</t>
        </is>
      </c>
      <c r="C8" s="8" t="inlineStr">
        <is>
          <t>Phase 2 depends on Phase 1 learnings + ERP data readiness</t>
        </is>
      </c>
    </row>
    <row r="9">
      <c r="A9" s="5" t="inlineStr">
        <is>
          <t>Client Resource Demand</t>
        </is>
      </c>
      <c r="B9" s="5" t="inlineStr">
        <is>
          <t>High -- Stephanie, Alexis, Ismail, sales manager all engaged simultaneously</t>
        </is>
      </c>
      <c r="C9" s="5" t="inlineStr">
        <is>
          <t>Moderate per phase -- smaller team needed at any given time</t>
        </is>
      </c>
    </row>
    <row r="10">
      <c r="A10" s="8" t="inlineStr">
        <is>
          <t>Adoption Risk</t>
        </is>
      </c>
      <c r="B10" s="8" t="inlineStr">
        <is>
          <t>Medium -- big-bang change, more training at once</t>
        </is>
      </c>
      <c r="C10" s="8" t="inlineStr">
        <is>
          <t>Lower -- CRM habits established before ERP integration adds complexity</t>
        </is>
      </c>
    </row>
    <row r="12">
      <c r="A12" s="18" t="inlineStr">
        <is>
          <t>RECOMMENDATION</t>
        </is>
      </c>
      <c r="B12" s="15" t="n"/>
      <c r="C12" s="15" t="n"/>
    </row>
    <row r="13" ht="80" customHeight="1">
      <c r="A13" s="19" t="inlineStr">
        <is>
          <t>Phased approach (B) recommended. The number of ERP unknowns (Intuitive extraction feasibility, Atlas system complexity, NetSuite data quality, architecture decision) makes concurrent execution risky. Stand up CRM for pipeline tracking and call logging first -- this delivers value without ERP dependency. Then tackle ERP integration with better information from Phase 1 discovery. Cameron flagged this CRM-ERP dependency explicitly on the discovery call. Revisit after follow-up call answers are in hand -- if ERP state is better than expected, concurrent becomes viable.</t>
        </is>
      </c>
    </row>
  </sheetData>
  <mergeCells count="2">
    <mergeCell ref="A12:C12"/>
    <mergeCell ref="A13:C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2026-03-05T17:17:53Z</dcterms:created>
  <dcterms:modified xmlns:dcterms="http://purl.org/dc/terms/" xmlns:xsi="http://www.w3.org/2001/XMLSchema-instance" xsi:type="dcterms:W3CDTF">2026-03-05T17:17:53Z</dcterms:modified>
</cp:coreProperties>
</file>