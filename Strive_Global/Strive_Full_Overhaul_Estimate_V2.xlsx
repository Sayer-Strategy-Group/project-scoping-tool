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ach Comparison" sheetId="1" state="visible" r:id="rId1"/>
    <sheet xmlns:r="http://schemas.openxmlformats.org/officeDocument/2006/relationships" name="Scoping Estimate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Assumptions &amp; Exclu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1"/>
    </font>
    <font>
      <name val="Arial"/>
      <b val="1"/>
      <sz val="10"/>
    </font>
    <font>
      <name val="Arial"/>
      <b val="1"/>
      <color rgb="001F4E79"/>
      <sz val="10"/>
    </font>
    <font>
      <name val="Arial"/>
      <b val="1"/>
      <color rgb="00548235"/>
      <sz val="1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DAEEF3"/>
        <bgColor rgb="00DAEEF3"/>
      </patternFill>
    </fill>
    <fill>
      <patternFill patternType="solid">
        <fgColor rgb="00548235"/>
        <bgColor rgb="00548235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164" fontId="5" fillId="4" borderId="0" pivotButton="0" quotePrefix="0" xfId="0"/>
    <xf numFmtId="0" fontId="2" fillId="5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vertical="top" wrapText="1"/>
    </xf>
    <xf numFmtId="0" fontId="3" fillId="6" borderId="1" pivotButton="0" quotePrefix="0" xfId="0"/>
    <xf numFmtId="164" fontId="3" fillId="6" borderId="1" pivotButton="0" quotePrefix="0" xfId="0"/>
    <xf numFmtId="164" fontId="3" fillId="3" borderId="1" applyAlignment="1" pivotButton="0" quotePrefix="0" xfId="0">
      <alignment vertical="top" wrapText="1"/>
    </xf>
    <xf numFmtId="0" fontId="6" fillId="0" borderId="0" pivotButton="0" quotePrefix="0" xfId="0"/>
    <xf numFmtId="0" fontId="6" fillId="0" borderId="1" pivotButton="0" quotePrefix="0" xfId="0"/>
    <xf numFmtId="164" fontId="6" fillId="0" borderId="1" pivotButton="0" quotePrefix="0" xfId="0"/>
    <xf numFmtId="0" fontId="7" fillId="0" borderId="0" pivotButton="0" quotePrefix="0" xfId="0"/>
    <xf numFmtId="0" fontId="4" fillId="0" borderId="1" pivotButton="0" quotePrefix="0" xfId="0"/>
    <xf numFmtId="164" fontId="4" fillId="0" borderId="1" pivotButton="0" quotePrefix="0" xfId="0"/>
    <xf numFmtId="164" fontId="0" fillId="0" borderId="0" pivotButton="0" quotePrefix="0" xfId="0"/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55" customWidth="1" min="3" max="3"/>
  </cols>
  <sheetData>
    <row r="1">
      <c r="A1" s="1" t="inlineStr">
        <is>
          <t>STRIVE Global -- Full CRM Overhaul V2: Approach Comparison</t>
        </is>
      </c>
    </row>
    <row r="3">
      <c r="A3" s="2" t="inlineStr">
        <is>
          <t>Dimension</t>
        </is>
      </c>
      <c r="B3" s="2" t="inlineStr">
        <is>
          <t>Approach A: Phased (Recommended)</t>
        </is>
      </c>
      <c r="C3" s="2" t="inlineStr">
        <is>
          <t>Approach B: Concurrent</t>
        </is>
      </c>
    </row>
    <row r="4">
      <c r="A4" s="3" t="inlineStr">
        <is>
          <t>Description</t>
        </is>
      </c>
      <c r="B4" s="3" t="inlineStr">
        <is>
          <t>Phase 1: CRM Foundation (weeks 1-8) -- pipeline, contacts, dashboards, automations. Phase 2: CPQ, enrichment, integrations, marketing (weeks 9-18). Each phase delivers standalone value.</t>
        </is>
      </c>
      <c r="C4" s="3" t="inlineStr">
        <is>
          <t>All workstreams in parallel across 12-14 weeks. Maximum resource intensity.</t>
        </is>
      </c>
    </row>
    <row r="5">
      <c r="A5" s="4" t="inlineStr">
        <is>
          <t>Total Hours (Median)</t>
        </is>
      </c>
      <c r="B5" s="4" t="inlineStr">
        <is>
          <t>313 hrs across two phases</t>
        </is>
      </c>
      <c r="C5" s="4" t="inlineStr">
        <is>
          <t>313 hrs compressed</t>
        </is>
      </c>
    </row>
    <row r="6">
      <c r="A6" s="3" t="inlineStr">
        <is>
          <t>Timeline</t>
        </is>
      </c>
      <c r="B6" s="3" t="inlineStr">
        <is>
          <t>16-18 weeks (Phase 1: 8-10 wks + Phase 2: 8-10 wks)</t>
        </is>
      </c>
      <c r="C6" s="3" t="inlineStr">
        <is>
          <t>12-14 weeks</t>
        </is>
      </c>
    </row>
    <row r="7">
      <c r="A7" s="4" t="inlineStr">
        <is>
          <t>Risk Level</t>
        </is>
      </c>
      <c r="B7" s="4" t="inlineStr">
        <is>
          <t>LOW -- Phase 1 de-risks Phase 2; clean data enables CPQ accuracy</t>
        </is>
      </c>
      <c r="C7" s="4" t="inlineStr">
        <is>
          <t>HIGH -- dirty data undermines CPQ and reporting; multiple moving parts</t>
        </is>
      </c>
    </row>
    <row r="8">
      <c r="A8" s="3" t="inlineStr">
        <is>
          <t>Adoption Impact</t>
        </is>
      </c>
      <c r="B8" s="3" t="inlineStr">
        <is>
          <t>Team absorbs changes gradually; builds confidence before CPQ launch</t>
        </is>
      </c>
      <c r="C8" s="3" t="inlineStr">
        <is>
          <t>All-at-once change; higher cognitive load</t>
        </is>
      </c>
    </row>
    <row r="9">
      <c r="A9" s="4" t="inlineStr">
        <is>
          <t>Change Management</t>
        </is>
      </c>
      <c r="B9" s="4" t="inlineStr">
        <is>
          <t>Two training cycles; Phase 1 habits established before Phase 2</t>
        </is>
      </c>
      <c r="C9" s="4" t="inlineStr">
        <is>
          <t>Single push covering all features</t>
        </is>
      </c>
    </row>
    <row r="10">
      <c r="A10" s="3" t="inlineStr">
        <is>
          <t>Dependency Risk</t>
        </is>
      </c>
      <c r="B10" s="3" t="inlineStr">
        <is>
          <t>LOW -- Phase 2 depends on Phase 1, but Phase 1 is self-contained</t>
        </is>
      </c>
      <c r="C10" s="3" t="inlineStr">
        <is>
          <t>HIGH -- CPQ depends on clean pipeline AND contact data simultaneously</t>
        </is>
      </c>
    </row>
    <row r="11">
      <c r="A11" s="4" t="inlineStr">
        <is>
          <t>Client Resource Demand</t>
        </is>
      </c>
      <c r="B11" s="4" t="inlineStr">
        <is>
          <t>Spread over 18 weeks; manageable alongside day-to-day</t>
        </is>
      </c>
      <c r="C11" s="4" t="inlineStr">
        <is>
          <t>Concentrated in 14 weeks; significant time commitment</t>
        </is>
      </c>
    </row>
    <row r="12">
      <c r="A12" s="3" t="inlineStr">
        <is>
          <t>Board Reporting Value</t>
        </is>
      </c>
      <c r="B12" s="3" t="inlineStr">
        <is>
          <t>Phase 1 dashboards by week 8; full CPQ and advanced reporting by week 18</t>
        </is>
      </c>
      <c r="C12" s="3" t="inlineStr">
        <is>
          <t>Full suite by week 14 if everything goes to plan</t>
        </is>
      </c>
    </row>
    <row r="13">
      <c r="A13" s="4" t="inlineStr">
        <is>
          <t>Cost</t>
        </is>
      </c>
      <c r="B13" s="4" t="inlineStr">
        <is>
          <t>$46,950 (median at $150/hr)</t>
        </is>
      </c>
      <c r="C13" s="4" t="inlineStr">
        <is>
          <t>$46,950 (median at $150/hr)</t>
        </is>
      </c>
    </row>
    <row r="14">
      <c r="A14" s="3" t="inlineStr">
        <is>
          <t>Budget Flexibility</t>
        </is>
      </c>
      <c r="B14" s="3" t="inlineStr">
        <is>
          <t>Can pause after Phase 1 ($23,250) if budget constrained</t>
        </is>
      </c>
      <c r="C14" s="3" t="inlineStr">
        <is>
          <t>Full commitment required upfront</t>
        </is>
      </c>
    </row>
    <row r="16">
      <c r="A16" s="5" t="inlineStr">
        <is>
          <t>Recommendation</t>
        </is>
      </c>
    </row>
    <row r="17">
      <c r="A17" s="6" t="inlineStr">
        <is>
          <t>Approach A: Phased is strongly recommended. STRIVE's data quality issues make concurrent approach risky -- CPQ built on dirty data produces inaccurate quotes. Phase 1 delivers immediate operational value and can stand alone if Phase 2 is deferred. Estimates calibrated against prior comparable Salesforce engagement and HubSpot industry benchmarks (CPQ: 40-60 hrs industry standard).</t>
        </is>
      </c>
    </row>
  </sheetData>
  <mergeCells count="3">
    <mergeCell ref="A1:C1"/>
    <mergeCell ref="A16:C16"/>
    <mergeCell ref="A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55" customWidth="1" min="2" max="2"/>
    <col width="12" customWidth="1" min="3" max="3"/>
    <col width="12" customWidth="1" min="4" max="4"/>
    <col width="14" customWidth="1" min="5" max="5"/>
    <col width="10" customWidth="1" min="6" max="6"/>
    <col width="12" customWidth="1" min="7" max="7"/>
    <col width="12" customWidth="1" min="8" max="8"/>
    <col width="14" customWidth="1" min="9" max="9"/>
    <col width="55" customWidth="1" min="10" max="10"/>
    <col width="14" customWidth="1" min="11" max="11"/>
    <col width="14" customWidth="1" min="12" max="12"/>
    <col width="12" customWidth="1" min="13" max="13"/>
  </cols>
  <sheetData>
    <row r="1">
      <c r="A1" s="7" t="inlineStr">
        <is>
          <t>Hourly Rate:</t>
        </is>
      </c>
      <c r="B1" s="8" t="n">
        <v>150</v>
      </c>
    </row>
    <row r="3">
      <c r="A3" s="2" t="inlineStr">
        <is>
          <t>Workstream</t>
        </is>
      </c>
      <c r="B3" s="2" t="inlineStr">
        <is>
          <t>Description</t>
        </is>
      </c>
      <c r="C3" s="2" t="inlineStr">
        <is>
          <t>Min Hours</t>
        </is>
      </c>
      <c r="D3" s="2" t="inlineStr">
        <is>
          <t>Max Hours</t>
        </is>
      </c>
      <c r="E3" s="2" t="inlineStr">
        <is>
          <t>Median Hours</t>
        </is>
      </c>
      <c r="F3" s="2" t="inlineStr">
        <is>
          <t>Rate</t>
        </is>
      </c>
      <c r="G3" s="2" t="inlineStr">
        <is>
          <t>Min Cost</t>
        </is>
      </c>
      <c r="H3" s="2" t="inlineStr">
        <is>
          <t>Max Cost</t>
        </is>
      </c>
      <c r="I3" s="2" t="inlineStr">
        <is>
          <t>Median Cost</t>
        </is>
      </c>
      <c r="J3" s="2" t="inlineStr">
        <is>
          <t>Notes / Assumptions</t>
        </is>
      </c>
      <c r="K3" s="9" t="inlineStr">
        <is>
          <t>Actual Hours</t>
        </is>
      </c>
      <c r="L3" s="9" t="inlineStr">
        <is>
          <t>Actual Cost</t>
        </is>
      </c>
      <c r="M3" s="9" t="inlineStr">
        <is>
          <t>Variance</t>
        </is>
      </c>
    </row>
    <row r="4">
      <c r="A4" s="5" t="inlineStr">
        <is>
          <t>PHASE 1: CRM FOUNDATION (Weeks 1-8)</t>
        </is>
      </c>
    </row>
    <row r="5">
      <c r="A5" s="3" t="inlineStr">
        <is>
          <t>CRM Architecture &amp; Config Review</t>
        </is>
      </c>
      <c r="B5" s="3" t="inlineStr">
        <is>
          <t>Portal audit, user roles, permissions, team structure, 3-hub assessment, seat review.</t>
        </is>
      </c>
      <c r="C5" s="3" t="n">
        <v>8</v>
      </c>
      <c r="D5" s="3" t="n">
        <v>16</v>
      </c>
      <c r="E5" s="3">
        <f>AVERAGE(C5,D5)</f>
        <v/>
      </c>
      <c r="F5" s="3">
        <f>$B$1</f>
        <v/>
      </c>
      <c r="G5" s="10">
        <f>C5*$B$1</f>
        <v/>
      </c>
      <c r="H5" s="10">
        <f>D5*$B$1</f>
        <v/>
      </c>
      <c r="I5" s="10">
        <f>E5*$B$1</f>
        <v/>
      </c>
      <c r="J5" s="3" t="inlineStr">
        <is>
          <t>Wagmo comparable: 14 hrs. HubSpot simpler but Enterprise 3-hub complexity.</t>
        </is>
      </c>
      <c r="K5" s="11" t="n"/>
      <c r="L5" s="12" t="n"/>
      <c r="M5" s="11">
        <f>IF(K5="","",K5-E5)</f>
        <v/>
      </c>
    </row>
    <row r="6">
      <c r="A6" s="4" t="inlineStr">
        <is>
          <t>Pipeline Restructuring</t>
        </is>
      </c>
      <c r="B6" s="4" t="inlineStr">
        <is>
          <t>Pre-pipeline separation, partner/client categories, stage probabilities, required fields, Contracting stage, auto-transitions, deal age reset.</t>
        </is>
      </c>
      <c r="C6" s="4" t="n">
        <v>16</v>
      </c>
      <c r="D6" s="4" t="n">
        <v>32</v>
      </c>
      <c r="E6" s="4">
        <f>AVERAGE(C6,D6)</f>
        <v/>
      </c>
      <c r="F6" s="4">
        <f>$B$1</f>
        <v/>
      </c>
      <c r="G6" s="13">
        <f>C6*$B$1</f>
        <v/>
      </c>
      <c r="H6" s="13">
        <f>D6*$B$1</f>
        <v/>
      </c>
      <c r="I6" s="13">
        <f>E6*$B$1</f>
        <v/>
      </c>
      <c r="J6" s="4" t="inlineStr">
        <is>
          <t>Wagmo benchmark: 36 hrs SFDC pipeline. HubSpot -20%, Strive complexity +40%.</t>
        </is>
      </c>
      <c r="K6" s="11" t="n"/>
      <c r="L6" s="12" t="n"/>
      <c r="M6" s="11">
        <f>IF(K6="","",K6-E6)</f>
        <v/>
      </c>
    </row>
    <row r="7">
      <c r="A7" s="3" t="inlineStr">
        <is>
          <t>Contact &amp; Company Classification + Cleanup</t>
        </is>
      </c>
      <c r="B7" s="3" t="inlineStr">
        <is>
          <t>Contact taxonomy, AI enrichment pilot + full run, normalization, dedup, association fixes, duplicate protection.</t>
        </is>
      </c>
      <c r="C7" s="3" t="n">
        <v>16</v>
      </c>
      <c r="D7" s="3" t="n">
        <v>32</v>
      </c>
      <c r="E7" s="3">
        <f>AVERAGE(C7,D7)</f>
        <v/>
      </c>
      <c r="F7" s="3">
        <f>$B$1</f>
        <v/>
      </c>
      <c r="G7" s="10">
        <f>C7*$B$1</f>
        <v/>
      </c>
      <c r="H7" s="10">
        <f>D7*$B$1</f>
        <v/>
      </c>
      <c r="I7" s="10">
        <f>E7*$B$1</f>
        <v/>
      </c>
      <c r="J7" s="3" t="inlineStr">
        <is>
          <t>10 yrs uncoded data. Industry: $5K-$15K for cleanup. Conservative with AI.</t>
        </is>
      </c>
      <c r="K7" s="11" t="n"/>
      <c r="L7" s="12" t="n"/>
      <c r="M7" s="11">
        <f>IF(K7="","",K7-E7)</f>
        <v/>
      </c>
    </row>
    <row r="8">
      <c r="A8" s="4" t="inlineStr">
        <is>
          <t>Deal Health Scoring &amp; Forecasting</t>
        </is>
      </c>
      <c r="B8" s="4" t="inlineStr">
        <is>
          <t>Deal score formula, healthy/at-risk/stale, standardized close reasons, forecasting views.</t>
        </is>
      </c>
      <c r="C8" s="4" t="n">
        <v>6</v>
      </c>
      <c r="D8" s="4" t="n">
        <v>14</v>
      </c>
      <c r="E8" s="4">
        <f>AVERAGE(C8,D8)</f>
        <v/>
      </c>
      <c r="F8" s="4">
        <f>$B$1</f>
        <v/>
      </c>
      <c r="G8" s="13">
        <f>C8*$B$1</f>
        <v/>
      </c>
      <c r="H8" s="13">
        <f>D8*$B$1</f>
        <v/>
      </c>
      <c r="I8" s="13">
        <f>E8*$B$1</f>
        <v/>
      </c>
      <c r="J8" s="4" t="inlineStr">
        <is>
          <t>Scoring defined collaboratively.</t>
        </is>
      </c>
      <c r="K8" s="11" t="n"/>
      <c r="L8" s="12" t="n"/>
      <c r="M8" s="11">
        <f>IF(K8="","",K8-E8)</f>
        <v/>
      </c>
    </row>
    <row r="9">
      <c r="A9" s="3" t="inlineStr">
        <is>
          <t>Reporting &amp; Dashboards</t>
        </is>
      </c>
      <c r="B9" s="3" t="inlineStr">
        <is>
          <t>Partner, seller, CEO/board, pipeline health dashboards. 15 custom reports. Scheduled exports.</t>
        </is>
      </c>
      <c r="C9" s="3" t="n">
        <v>14</v>
      </c>
      <c r="D9" s="3" t="n">
        <v>26</v>
      </c>
      <c r="E9" s="3">
        <f>AVERAGE(C9,D9)</f>
        <v/>
      </c>
      <c r="F9" s="3">
        <f>$B$1</f>
        <v/>
      </c>
      <c r="G9" s="10">
        <f>C9*$B$1</f>
        <v/>
      </c>
      <c r="H9" s="10">
        <f>D9*$B$1</f>
        <v/>
      </c>
      <c r="I9" s="10">
        <f>E9*$B$1</f>
        <v/>
      </c>
      <c r="J9" s="3" t="inlineStr">
        <is>
          <t>Wagmo: 20 hrs for simpler scope. Strive needs 4 dashboards + 15 reports.</t>
        </is>
      </c>
      <c r="K9" s="11" t="n"/>
      <c r="L9" s="12" t="n"/>
      <c r="M9" s="11">
        <f>IF(K9="","",K9-E9)</f>
        <v/>
      </c>
    </row>
    <row r="10">
      <c r="A10" s="4" t="inlineStr">
        <is>
          <t>Automations &amp; Workflows</t>
        </is>
      </c>
      <c r="B10" s="4" t="inlineStr">
        <is>
          <t>Outlook fix, lead source, form-to-CRM, stage notifications, dup protection, pre-pipeline transitions.</t>
        </is>
      </c>
      <c r="C10" s="4" t="n">
        <v>10</v>
      </c>
      <c r="D10" s="4" t="n">
        <v>18</v>
      </c>
      <c r="E10" s="4">
        <f>AVERAGE(C10,D10)</f>
        <v/>
      </c>
      <c r="F10" s="4">
        <f>$B$1</f>
        <v/>
      </c>
      <c r="G10" s="13">
        <f>C10*$B$1</f>
        <v/>
      </c>
      <c r="H10" s="13">
        <f>D10*$B$1</f>
        <v/>
      </c>
      <c r="I10" s="13">
        <f>E10*$B$1</f>
        <v/>
      </c>
      <c r="J10" s="4" t="inlineStr">
        <is>
          <t>Up to 10 workflows.</t>
        </is>
      </c>
      <c r="K10" s="11" t="n"/>
      <c r="L10" s="12" t="n"/>
      <c r="M10" s="11">
        <f>IF(K10="","",K10-E10)</f>
        <v/>
      </c>
    </row>
    <row r="11">
      <c r="A11" s="3" t="inlineStr">
        <is>
          <t>Email &amp; Communication Fix</t>
        </is>
      </c>
      <c r="B11" s="3" t="inlineStr">
        <is>
          <t>Outlook audit/fix, association rules, domain exclusions.</t>
        </is>
      </c>
      <c r="C11" s="3" t="n">
        <v>4</v>
      </c>
      <c r="D11" s="3" t="n">
        <v>8</v>
      </c>
      <c r="E11" s="3">
        <f>AVERAGE(C11,D11)</f>
        <v/>
      </c>
      <c r="F11" s="3">
        <f>$B$1</f>
        <v/>
      </c>
      <c r="G11" s="10">
        <f>C11*$B$1</f>
        <v/>
      </c>
      <c r="H11" s="10">
        <f>D11*$B$1</f>
        <v/>
      </c>
      <c r="I11" s="10">
        <f>E11*$B$1</f>
        <v/>
      </c>
      <c r="J11" s="3" t="inlineStr">
        <is>
          <t>Root cause week 1.</t>
        </is>
      </c>
      <c r="K11" s="11" t="n"/>
      <c r="L11" s="12" t="n"/>
      <c r="M11" s="11">
        <f>IF(K11="","",K11-E11)</f>
        <v/>
      </c>
    </row>
    <row r="12">
      <c r="A12" s="4" t="inlineStr">
        <is>
          <t>Training: Admin</t>
        </is>
      </c>
      <c r="B12" s="4" t="inlineStr">
        <is>
          <t>Andrea + admin. Pipeline, reporting, workflows, data hygiene.</t>
        </is>
      </c>
      <c r="C12" s="4" t="n">
        <v>4</v>
      </c>
      <c r="D12" s="4" t="n">
        <v>8</v>
      </c>
      <c r="E12" s="4">
        <f>AVERAGE(C12,D12)</f>
        <v/>
      </c>
      <c r="F12" s="4">
        <f>$B$1</f>
        <v/>
      </c>
      <c r="G12" s="13">
        <f>C12*$B$1</f>
        <v/>
      </c>
      <c r="H12" s="13">
        <f>D12*$B$1</f>
        <v/>
      </c>
      <c r="I12" s="13">
        <f>E12*$B$1</f>
        <v/>
      </c>
      <c r="J12" s="4" t="inlineStr">
        <is>
          <t>1-2 sessions recorded.</t>
        </is>
      </c>
      <c r="K12" s="11" t="n"/>
      <c r="L12" s="12" t="n"/>
      <c r="M12" s="11">
        <f>IF(K12="","",K12-E12)</f>
        <v/>
      </c>
    </row>
    <row r="13">
      <c r="A13" s="3" t="inlineStr">
        <is>
          <t>Training: End Users</t>
        </is>
      </c>
      <c r="B13" s="3" t="inlineStr">
        <is>
          <t>Sales team. CRM usage, deals, activity, dashboards, mobile.</t>
        </is>
      </c>
      <c r="C13" s="3" t="n">
        <v>6</v>
      </c>
      <c r="D13" s="3" t="n">
        <v>10</v>
      </c>
      <c r="E13" s="3">
        <f>AVERAGE(C13,D13)</f>
        <v/>
      </c>
      <c r="F13" s="3">
        <f>$B$1</f>
        <v/>
      </c>
      <c r="G13" s="10">
        <f>C13*$B$1</f>
        <v/>
      </c>
      <c r="H13" s="10">
        <f>D13*$B$1</f>
        <v/>
      </c>
      <c r="I13" s="10">
        <f>E13*$B$1</f>
        <v/>
      </c>
      <c r="J13" s="3" t="inlineStr">
        <is>
          <t>2-3 sessions.</t>
        </is>
      </c>
      <c r="K13" s="11" t="n"/>
      <c r="L13" s="12" t="n"/>
      <c r="M13" s="11">
        <f>IF(K13="","",K13-E13)</f>
        <v/>
      </c>
    </row>
    <row r="14">
      <c r="A14" s="4" t="inlineStr">
        <is>
          <t>Training: Executive</t>
        </is>
      </c>
      <c r="B14" s="4" t="inlineStr">
        <is>
          <t>Jodi. Board dashboard, forecasting, scheduling.</t>
        </is>
      </c>
      <c r="C14" s="4" t="n">
        <v>2</v>
      </c>
      <c r="D14" s="4" t="n">
        <v>4</v>
      </c>
      <c r="E14" s="4">
        <f>AVERAGE(C14,D14)</f>
        <v/>
      </c>
      <c r="F14" s="4">
        <f>$B$1</f>
        <v/>
      </c>
      <c r="G14" s="13">
        <f>C14*$B$1</f>
        <v/>
      </c>
      <c r="H14" s="13">
        <f>D14*$B$1</f>
        <v/>
      </c>
      <c r="I14" s="13">
        <f>E14*$B$1</f>
        <v/>
      </c>
      <c r="J14" s="4" t="inlineStr">
        <is>
          <t>1 session.</t>
        </is>
      </c>
      <c r="K14" s="11" t="n"/>
      <c r="L14" s="12" t="n"/>
      <c r="M14" s="11">
        <f>IF(K14="","",K14-E14)</f>
        <v/>
      </c>
    </row>
    <row r="15">
      <c r="A15" s="3" t="inlineStr">
        <is>
          <t>UAT, Go-Live &amp; Documentation (Phase 1)</t>
        </is>
      </c>
      <c r="B15" s="3" t="inlineStr">
        <is>
          <t>Test scripts, 2 UAT sessions, bug fixes, admin + user guide, 2-week hypercare.</t>
        </is>
      </c>
      <c r="C15" s="3" t="n">
        <v>8</v>
      </c>
      <c r="D15" s="3" t="n">
        <v>12</v>
      </c>
      <c r="E15" s="3">
        <f>AVERAGE(C15,D15)</f>
        <v/>
      </c>
      <c r="F15" s="3">
        <f>$B$1</f>
        <v/>
      </c>
      <c r="G15" s="10">
        <f>C15*$B$1</f>
        <v/>
      </c>
      <c r="H15" s="10">
        <f>D15*$B$1</f>
        <v/>
      </c>
      <c r="I15" s="10">
        <f>E15*$B$1</f>
        <v/>
      </c>
      <c r="J15" s="3" t="inlineStr">
        <is>
          <t>Wagmo testing: 7 hrs + documentation.</t>
        </is>
      </c>
      <c r="K15" s="11" t="n"/>
      <c r="L15" s="12" t="n"/>
      <c r="M15" s="11">
        <f>IF(K15="","",K15-E15)</f>
        <v/>
      </c>
    </row>
    <row r="16">
      <c r="A16" s="4" t="inlineStr">
        <is>
          <t>Project Management (Phase 1)</t>
        </is>
      </c>
      <c r="B16" s="4" t="inlineStr">
        <is>
          <t>Kickoff, weekly syncs, status updates, scope control.</t>
        </is>
      </c>
      <c r="C16" s="4" t="n">
        <v>14</v>
      </c>
      <c r="D16" s="4" t="n">
        <v>22</v>
      </c>
      <c r="E16" s="4">
        <f>AVERAGE(C16,D16)</f>
        <v/>
      </c>
      <c r="F16" s="4">
        <f>$B$1</f>
        <v/>
      </c>
      <c r="G16" s="13">
        <f>C16*$B$1</f>
        <v/>
      </c>
      <c r="H16" s="13">
        <f>D16*$B$1</f>
        <v/>
      </c>
      <c r="I16" s="13">
        <f>E16*$B$1</f>
        <v/>
      </c>
      <c r="J16" s="4" t="inlineStr">
        <is>
          <t>~12% of total. Wagmo lesson: formal PM prevents scope creep.</t>
        </is>
      </c>
      <c r="K16" s="11" t="n"/>
      <c r="L16" s="12" t="n"/>
      <c r="M16" s="11">
        <f>IF(K16="","",K16-E16)</f>
        <v/>
      </c>
    </row>
    <row r="17">
      <c r="A17" s="14" t="inlineStr">
        <is>
          <t>Phase 1 Subtotal</t>
        </is>
      </c>
      <c r="C17" s="15">
        <f>SUM(C5:C16)</f>
        <v/>
      </c>
      <c r="D17" s="15">
        <f>SUM(D5:D16)</f>
        <v/>
      </c>
      <c r="E17" s="15">
        <f>SUM(E5:E16)</f>
        <v/>
      </c>
      <c r="F17">
        <f>$B$1</f>
        <v/>
      </c>
      <c r="G17" s="16">
        <f>SUM(G5:G16)</f>
        <v/>
      </c>
      <c r="H17" s="16">
        <f>SUM(H5:H16)</f>
        <v/>
      </c>
      <c r="I17" s="16">
        <f>SUM(I5:I16)</f>
        <v/>
      </c>
      <c r="K17" s="15">
        <f>SUM(K5:K16)</f>
        <v/>
      </c>
      <c r="L17" s="16">
        <f>SUM(L5:L16)</f>
        <v/>
      </c>
    </row>
    <row r="19">
      <c r="A19" s="5" t="inlineStr">
        <is>
          <t>PHASE 2: CPQ, ENRICHMENT &amp; INTEGRATIONS (Weeks 9-18)</t>
        </is>
      </c>
    </row>
    <row r="20">
      <c r="A20" s="3" t="inlineStr">
        <is>
          <t>CPQ Implementation</t>
        </is>
      </c>
      <c r="B20" s="3" t="inlineStr">
        <is>
          <t>Product library (apps, microsites, AI, packs, Divi, bundles). Quote templates. E-signatures. Reminders. Multiple pricing models (license+rev share, flat, bundles/discounts).</t>
        </is>
      </c>
      <c r="C20" s="3" t="n">
        <v>35</v>
      </c>
      <c r="D20" s="3" t="n">
        <v>55</v>
      </c>
      <c r="E20" s="3">
        <f>AVERAGE(C20,D20)</f>
        <v/>
      </c>
      <c r="F20" s="3">
        <f>$B$1</f>
        <v/>
      </c>
      <c r="G20" s="10">
        <f>C20*$B$1</f>
        <v/>
      </c>
      <c r="H20" s="10">
        <f>D20*$B$1</f>
        <v/>
      </c>
      <c r="I20" s="10">
        <f>E20*$B$1</f>
        <v/>
      </c>
      <c r="J20" s="3" t="inlineStr">
        <is>
          <t>Industry benchmark: 40-60 hrs for CPQ rollout (Process Pro Consulting). Multiple pricing models add complexity. V1 was 18 hrs -- significantly under-scoped.</t>
        </is>
      </c>
      <c r="K20" s="11" t="n"/>
      <c r="L20" s="12" t="n"/>
      <c r="M20" s="11">
        <f>IF(K20="","",K20-E20)</f>
        <v/>
      </c>
    </row>
    <row r="21">
      <c r="A21" s="4" t="inlineStr">
        <is>
          <t>Contract Management Workflows</t>
        </is>
      </c>
      <c r="B21" s="4" t="inlineStr">
        <is>
          <t>Quote-to-contract automation. Status tracking. Renewal/expiry workflows. Replaces manual DocuSign through COO.</t>
        </is>
      </c>
      <c r="C21" s="4" t="n">
        <v>8</v>
      </c>
      <c r="D21" s="4" t="n">
        <v>14</v>
      </c>
      <c r="E21" s="4">
        <f>AVERAGE(C21,D21)</f>
        <v/>
      </c>
      <c r="F21" s="4">
        <f>$B$1</f>
        <v/>
      </c>
      <c r="G21" s="13">
        <f>C21*$B$1</f>
        <v/>
      </c>
      <c r="H21" s="13">
        <f>D21*$B$1</f>
        <v/>
      </c>
      <c r="I21" s="13">
        <f>E21*$B$1</f>
        <v/>
      </c>
      <c r="J21" s="4" t="inlineStr">
        <is>
          <t>Contract templates, status properties, auto-advance on signature.</t>
        </is>
      </c>
      <c r="K21" s="11" t="n"/>
      <c r="L21" s="12" t="n"/>
      <c r="M21" s="11">
        <f>IF(K21="","",K21-E21)</f>
        <v/>
      </c>
    </row>
    <row r="22">
      <c r="A22" s="3" t="inlineStr">
        <is>
          <t>Data Enrichment at Scale</t>
        </is>
      </c>
      <c r="B22" s="3" t="inlineStr">
        <is>
          <t>Full database Breeze AI enrichment. Auto-enrichment for inbound. QA and validation.</t>
        </is>
      </c>
      <c r="C22" s="3" t="n">
        <v>8</v>
      </c>
      <c r="D22" s="3" t="n">
        <v>16</v>
      </c>
      <c r="E22" s="3">
        <f>AVERAGE(C22,D22)</f>
        <v/>
      </c>
      <c r="F22" s="3">
        <f>$B$1</f>
        <v/>
      </c>
      <c r="G22" s="10">
        <f>C22*$B$1</f>
        <v/>
      </c>
      <c r="H22" s="10">
        <f>D22*$B$1</f>
        <v/>
      </c>
      <c r="I22" s="10">
        <f>E22*$B$1</f>
        <v/>
      </c>
      <c r="J22" s="3" t="inlineStr">
        <is>
          <t>Extends Phase 1 pilot to full database. Includes QA cycle.</t>
        </is>
      </c>
      <c r="K22" s="11" t="n"/>
      <c r="L22" s="12" t="n"/>
      <c r="M22" s="11">
        <f>IF(K22="","",K22-E22)</f>
        <v/>
      </c>
    </row>
    <row r="23">
      <c r="A23" s="4" t="inlineStr">
        <is>
          <t>Data Normalization &amp; Dedup (Extended)</t>
        </is>
      </c>
      <c r="B23" s="4" t="inlineStr">
        <is>
          <t>Full normalization, advanced dedup, merge strategy, ongoing protection.</t>
        </is>
      </c>
      <c r="C23" s="4" t="n">
        <v>10</v>
      </c>
      <c r="D23" s="4" t="n">
        <v>18</v>
      </c>
      <c r="E23" s="4">
        <f>AVERAGE(C23,D23)</f>
        <v/>
      </c>
      <c r="F23" s="4">
        <f>$B$1</f>
        <v/>
      </c>
      <c r="G23" s="13">
        <f>C23*$B$1</f>
        <v/>
      </c>
      <c r="H23" s="13">
        <f>D23*$B$1</f>
        <v/>
      </c>
      <c r="I23" s="13">
        <f>E23*$B$1</f>
        <v/>
      </c>
      <c r="J23" s="4" t="inlineStr">
        <is>
          <t>Extends Phase 1 cleanup comprehensively.</t>
        </is>
      </c>
      <c r="K23" s="11" t="n"/>
      <c r="L23" s="12" t="n"/>
      <c r="M23" s="11">
        <f>IF(K23="","",K23-E23)</f>
        <v/>
      </c>
    </row>
    <row r="24">
      <c r="A24" s="3" t="inlineStr">
        <is>
          <t>Parent-Child Structure (Broker Packs)</t>
        </is>
      </c>
      <c r="B24" s="3" t="inlineStr">
        <is>
          <t>Association labels, per-broker forms, auto child contact creation, list generation.</t>
        </is>
      </c>
      <c r="C24" s="3" t="n">
        <v>6</v>
      </c>
      <c r="D24" s="3" t="n">
        <v>10</v>
      </c>
      <c r="E24" s="3">
        <f>AVERAGE(C24,D24)</f>
        <v/>
      </c>
      <c r="F24" s="3">
        <f>$B$1</f>
        <v/>
      </c>
      <c r="G24" s="10">
        <f>C24*$B$1</f>
        <v/>
      </c>
      <c r="H24" s="10">
        <f>D24*$B$1</f>
        <v/>
      </c>
      <c r="I24" s="10">
        <f>E24*$B$1</f>
        <v/>
      </c>
      <c r="J24" s="3" t="inlineStr">
        <is>
          <t>Enables microsite-to-app expansion. Depends on form link from Andrea.</t>
        </is>
      </c>
      <c r="K24" s="11" t="n"/>
      <c r="L24" s="12" t="n"/>
      <c r="M24" s="11">
        <f>IF(K24="","",K24-E24)</f>
        <v/>
      </c>
    </row>
    <row r="25">
      <c r="A25" s="4" t="inlineStr">
        <is>
          <t>Email Sequencing</t>
        </is>
      </c>
      <c r="B25" s="4" t="inlineStr">
        <is>
          <t>Broker prospecting, microsite-to-app expansion. 4 sequences + enrollment + reporting.</t>
        </is>
      </c>
      <c r="C25" s="4" t="n">
        <v>6</v>
      </c>
      <c r="D25" s="4" t="n">
        <v>10</v>
      </c>
      <c r="E25" s="4">
        <f>AVERAGE(C25,D25)</f>
        <v/>
      </c>
      <c r="F25" s="4">
        <f>$B$1</f>
        <v/>
      </c>
      <c r="G25" s="13">
        <f>C25*$B$1</f>
        <v/>
      </c>
      <c r="H25" s="13">
        <f>D25*$B$1</f>
        <v/>
      </c>
      <c r="I25" s="13">
        <f>E25*$B$1</f>
        <v/>
      </c>
      <c r="J25" s="4" t="inlineStr">
        <is>
          <t>HubSpot Enterprise sequences included in license.</t>
        </is>
      </c>
      <c r="K25" s="11" t="n"/>
      <c r="L25" s="12" t="n"/>
      <c r="M25" s="11">
        <f>IF(K25="","",K25-E25)</f>
        <v/>
      </c>
    </row>
    <row r="26">
      <c r="A26" s="3" t="inlineStr">
        <is>
          <t>Marketing Automation Foundation</t>
        </is>
      </c>
      <c r="B26" s="3" t="inlineStr">
        <is>
          <t>Newsletter template, 2-3 segmented campaigns, compliance.</t>
        </is>
      </c>
      <c r="C26" s="3" t="n">
        <v>8</v>
      </c>
      <c r="D26" s="3" t="n">
        <v>14</v>
      </c>
      <c r="E26" s="3">
        <f>AVERAGE(C26,D26)</f>
        <v/>
      </c>
      <c r="F26" s="3">
        <f>$B$1</f>
        <v/>
      </c>
      <c r="G26" s="10">
        <f>C26*$B$1</f>
        <v/>
      </c>
      <c r="H26" s="10">
        <f>D26*$B$1</f>
        <v/>
      </c>
      <c r="I26" s="10">
        <f>E26*$B$1</f>
        <v/>
      </c>
      <c r="J26" s="3" t="inlineStr">
        <is>
          <t>Leverages Marketing Hub (already licensed).</t>
        </is>
      </c>
      <c r="K26" s="11" t="n"/>
      <c r="L26" s="12" t="n"/>
      <c r="M26" s="11">
        <f>IF(K26="","",K26-E26)</f>
        <v/>
      </c>
    </row>
    <row r="27">
      <c r="A27" s="4" t="inlineStr">
        <is>
          <t>Commission Visibility &amp; Validation</t>
        </is>
      </c>
      <c r="B27" s="4" t="inlineStr">
        <is>
          <t>CRM-based commission view, validation workflow for Jodi.</t>
        </is>
      </c>
      <c r="C27" s="4" t="n">
        <v>4</v>
      </c>
      <c r="D27" s="4" t="n">
        <v>8</v>
      </c>
      <c r="E27" s="4">
        <f>AVERAGE(C27,D27)</f>
        <v/>
      </c>
      <c r="F27" s="4">
        <f>$B$1</f>
        <v/>
      </c>
      <c r="G27" s="13">
        <f>C27*$B$1</f>
        <v/>
      </c>
      <c r="H27" s="13">
        <f>D27*$B$1</f>
        <v/>
      </c>
      <c r="I27" s="13">
        <f>E27*$B$1</f>
        <v/>
      </c>
      <c r="J27" s="4" t="inlineStr">
        <is>
          <t>Visibility only -- not full calculation engine.</t>
        </is>
      </c>
      <c r="K27" s="11" t="n"/>
      <c r="L27" s="12" t="n"/>
      <c r="M27" s="11">
        <f>IF(K27="","",K27-E27)</f>
        <v/>
      </c>
    </row>
    <row r="28">
      <c r="A28" s="3" t="inlineStr">
        <is>
          <t>NetSuite Integration Prep</t>
        </is>
      </c>
      <c r="B28" s="3" t="inlineStr">
        <is>
          <t>Data readiness, field mapping, gap analysis. PREP ONLY.</t>
        </is>
      </c>
      <c r="C28" s="3" t="n">
        <v>8</v>
      </c>
      <c r="D28" s="3" t="n">
        <v>14</v>
      </c>
      <c r="E28" s="3">
        <f>AVERAGE(C28,D28)</f>
        <v/>
      </c>
      <c r="F28" s="3">
        <f>$B$1</f>
        <v/>
      </c>
      <c r="G28" s="10">
        <f>C28*$B$1</f>
        <v/>
      </c>
      <c r="H28" s="10">
        <f>D28*$B$1</f>
        <v/>
      </c>
      <c r="I28" s="10">
        <f>E28*$B$1</f>
        <v/>
      </c>
      <c r="J28" s="3" t="inlineStr">
        <is>
          <t>Does NOT include API build. Separate SOW required.</t>
        </is>
      </c>
      <c r="K28" s="11" t="n"/>
      <c r="L28" s="12" t="n"/>
      <c r="M28" s="11">
        <f>IF(K28="","",K28-E28)</f>
        <v/>
      </c>
    </row>
    <row r="29">
      <c r="A29" s="4" t="inlineStr">
        <is>
          <t>Bill.com Integration Prep</t>
        </is>
      </c>
      <c r="B29" s="4" t="inlineStr">
        <is>
          <t>AR/AP field mapping, data readiness. PREP ONLY.</t>
        </is>
      </c>
      <c r="C29" s="4" t="n">
        <v>4</v>
      </c>
      <c r="D29" s="4" t="n">
        <v>8</v>
      </c>
      <c r="E29" s="4">
        <f>AVERAGE(C29,D29)</f>
        <v/>
      </c>
      <c r="F29" s="4">
        <f>$B$1</f>
        <v/>
      </c>
      <c r="G29" s="13">
        <f>C29*$B$1</f>
        <v/>
      </c>
      <c r="H29" s="13">
        <f>D29*$B$1</f>
        <v/>
      </c>
      <c r="I29" s="13">
        <f>E29*$B$1</f>
        <v/>
      </c>
      <c r="J29" s="4" t="inlineStr">
        <is>
          <t>Does NOT include build. Separate SOW.</t>
        </is>
      </c>
      <c r="K29" s="11" t="n"/>
      <c r="L29" s="12" t="n"/>
      <c r="M29" s="11">
        <f>IF(K29="","",K29-E29)</f>
        <v/>
      </c>
    </row>
    <row r="30">
      <c r="A30" s="3" t="inlineStr">
        <is>
          <t>Seat/License Optimization</t>
        </is>
      </c>
      <c r="B30" s="3" t="inlineStr">
        <is>
          <t>Audit 23 seats, identify waste, cost savings memo.</t>
        </is>
      </c>
      <c r="C30" s="3" t="n">
        <v>2</v>
      </c>
      <c r="D30" s="3" t="n">
        <v>4</v>
      </c>
      <c r="E30" s="3">
        <f>AVERAGE(C30,D30)</f>
        <v/>
      </c>
      <c r="F30" s="3">
        <f>$B$1</f>
        <v/>
      </c>
      <c r="G30" s="10">
        <f>C30*$B$1</f>
        <v/>
      </c>
      <c r="H30" s="10">
        <f>D30*$B$1</f>
        <v/>
      </c>
      <c r="I30" s="10">
        <f>E30*$B$1</f>
        <v/>
      </c>
      <c r="J30" s="3" t="inlineStr">
        <is>
          <t>Deliverable: cost savings recommendation.</t>
        </is>
      </c>
      <c r="K30" s="11" t="n"/>
      <c r="L30" s="12" t="n"/>
      <c r="M30" s="11">
        <f>IF(K30="","",K30-E30)</f>
        <v/>
      </c>
    </row>
    <row r="31">
      <c r="A31" s="4" t="inlineStr">
        <is>
          <t>Advanced Reporting</t>
        </is>
      </c>
      <c r="B31" s="4" t="inlineStr">
        <is>
          <t>Automated board reports, pipeline coverage, pace-to-goal, marketing ROI.</t>
        </is>
      </c>
      <c r="C31" s="4" t="n">
        <v>8</v>
      </c>
      <c r="D31" s="4" t="n">
        <v>14</v>
      </c>
      <c r="E31" s="4">
        <f>AVERAGE(C31,D31)</f>
        <v/>
      </c>
      <c r="F31" s="4">
        <f>$B$1</f>
        <v/>
      </c>
      <c r="G31" s="13">
        <f>C31*$B$1</f>
        <v/>
      </c>
      <c r="H31" s="13">
        <f>D31*$B$1</f>
        <v/>
      </c>
      <c r="I31" s="13">
        <f>E31*$B$1</f>
        <v/>
      </c>
      <c r="J31" s="4" t="inlineStr">
        <is>
          <t>Extends Phase 1 dashboards with Phase 2 data.</t>
        </is>
      </c>
      <c r="K31" s="11" t="n"/>
      <c r="L31" s="12" t="n"/>
      <c r="M31" s="11">
        <f>IF(K31="","",K31-E31)</f>
        <v/>
      </c>
    </row>
    <row r="32">
      <c r="A32" s="3" t="inlineStr">
        <is>
          <t>Additional Project Management</t>
        </is>
      </c>
      <c r="B32" s="3" t="inlineStr">
        <is>
          <t>Phase 2 PM, weekly syncs, milestone reviews.</t>
        </is>
      </c>
      <c r="C32" s="3" t="n">
        <v>12</v>
      </c>
      <c r="D32" s="3" t="n">
        <v>20</v>
      </c>
      <c r="E32" s="3">
        <f>AVERAGE(C32,D32)</f>
        <v/>
      </c>
      <c r="F32" s="3">
        <f>$B$1</f>
        <v/>
      </c>
      <c r="G32" s="10">
        <f>C32*$B$1</f>
        <v/>
      </c>
      <c r="H32" s="10">
        <f>D32*$B$1</f>
        <v/>
      </c>
      <c r="I32" s="10">
        <f>E32*$B$1</f>
        <v/>
      </c>
      <c r="J32" s="3" t="inlineStr">
        <is>
          <t>~12% of Phase 2 hours.</t>
        </is>
      </c>
      <c r="K32" s="11" t="n"/>
      <c r="L32" s="12" t="n"/>
      <c r="M32" s="11">
        <f>IF(K32="","",K32-E32)</f>
        <v/>
      </c>
    </row>
    <row r="33">
      <c r="A33" s="14" t="inlineStr">
        <is>
          <t>Phase 2 Subtotal</t>
        </is>
      </c>
      <c r="C33" s="15">
        <f>SUM(C20:C32)</f>
        <v/>
      </c>
      <c r="D33" s="15">
        <f>SUM(D20:D32)</f>
        <v/>
      </c>
      <c r="E33" s="15">
        <f>SUM(E20:E32)</f>
        <v/>
      </c>
      <c r="F33">
        <f>$B$1</f>
        <v/>
      </c>
      <c r="G33" s="16">
        <f>SUM(G20:G32)</f>
        <v/>
      </c>
      <c r="H33" s="16">
        <f>SUM(H20:H32)</f>
        <v/>
      </c>
      <c r="I33" s="16">
        <f>SUM(I20:I32)</f>
        <v/>
      </c>
      <c r="K33" s="15">
        <f>SUM(K20:K32)</f>
        <v/>
      </c>
      <c r="L33" s="16">
        <f>SUM(L20:L32)</f>
        <v/>
      </c>
    </row>
    <row r="35">
      <c r="A35" s="17" t="inlineStr">
        <is>
          <t>OPTIONAL ADD-ON</t>
        </is>
      </c>
    </row>
    <row r="36">
      <c r="A36" s="4" t="inlineStr">
        <is>
          <t>Client Success Pipeline (Optional)</t>
        </is>
      </c>
      <c r="B36" s="4" t="inlineStr">
        <is>
          <t>Client health tracking, health score properties, renewal tracking. Requires CS team discovery.</t>
        </is>
      </c>
      <c r="C36" s="4" t="n">
        <v>8</v>
      </c>
      <c r="D36" s="4" t="n">
        <v>14</v>
      </c>
      <c r="E36" s="4">
        <f>AVERAGE(C36,D36)</f>
        <v/>
      </c>
      <c r="F36" s="4">
        <f>$B$1</f>
        <v/>
      </c>
      <c r="G36" s="13">
        <f>C36*$B$1</f>
        <v/>
      </c>
      <c r="H36" s="13">
        <f>D36*$B$1</f>
        <v/>
      </c>
      <c r="I36" s="13">
        <f>E36*$B$1</f>
        <v/>
      </c>
      <c r="J36" s="4" t="inlineStr">
        <is>
          <t>Not in project total. Requires separate CS discovery.</t>
        </is>
      </c>
      <c r="K36" s="11" t="n"/>
      <c r="L36" s="12" t="n"/>
      <c r="M36" s="11" t="n"/>
    </row>
    <row r="38">
      <c r="A38" s="5" t="inlineStr">
        <is>
          <t>PROJECT TOTAL (Phase 1 + Phase 2)</t>
        </is>
      </c>
      <c r="C38" s="18">
        <f>C17+C33</f>
        <v/>
      </c>
      <c r="D38" s="18">
        <f>D17+D33</f>
        <v/>
      </c>
      <c r="E38" s="18">
        <f>E17+E33</f>
        <v/>
      </c>
      <c r="F38">
        <f>$B$1</f>
        <v/>
      </c>
      <c r="G38" s="19">
        <f>G17+G33</f>
        <v/>
      </c>
      <c r="H38" s="19">
        <f>H17+H33</f>
        <v/>
      </c>
      <c r="I38" s="19">
        <f>I17+I33</f>
        <v/>
      </c>
      <c r="L38" s="20" t="n"/>
    </row>
  </sheetData>
  <mergeCells count="3">
    <mergeCell ref="A35:J35"/>
    <mergeCell ref="A4:J4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12" customWidth="1" min="4" max="4"/>
    <col width="45" customWidth="1" min="5" max="5"/>
    <col width="55" customWidth="1" min="6" max="6"/>
    <col width="25" customWidth="1" min="7" max="7"/>
    <col width="10" customWidth="1" min="8" max="8"/>
  </cols>
  <sheetData>
    <row r="1">
      <c r="A1" s="2" t="inlineStr">
        <is>
          <t>#</t>
        </is>
      </c>
      <c r="B1" s="2" t="inlineStr">
        <is>
          <t>Risk</t>
        </is>
      </c>
      <c r="C1" s="2" t="inlineStr">
        <is>
          <t>Severity</t>
        </is>
      </c>
      <c r="D1" s="2" t="inlineStr">
        <is>
          <t>Likelihood</t>
        </is>
      </c>
      <c r="E1" s="2" t="inlineStr">
        <is>
          <t>Impact</t>
        </is>
      </c>
      <c r="F1" s="2" t="inlineStr">
        <is>
          <t>Mitigation</t>
        </is>
      </c>
      <c r="G1" s="2" t="inlineStr">
        <is>
          <t>Owner</t>
        </is>
      </c>
      <c r="H1" s="2" t="inlineStr">
        <is>
          <t>Status</t>
        </is>
      </c>
    </row>
    <row r="2">
      <c r="A2" s="3" t="n">
        <v>1</v>
      </c>
      <c r="B2" s="3" t="inlineStr">
        <is>
          <t>10 years uncoded contact data -- enrichment may exceed estimates</t>
        </is>
      </c>
      <c r="C2" s="21" t="inlineStr">
        <is>
          <t>HIGH</t>
        </is>
      </c>
      <c r="D2" s="3" t="inlineStr">
        <is>
          <t>HIGH</t>
        </is>
      </c>
      <c r="E2" s="3" t="inlineStr">
        <is>
          <t>Cleanup 2-3x estimate; CPQ associations unreliable</t>
        </is>
      </c>
      <c r="F2" s="3" t="inlineStr">
        <is>
          <t>Pilot 500 records in Phase 1. Budget 30% buffer.</t>
        </is>
      </c>
      <c r="G2" s="3" t="inlineStr">
        <is>
          <t>Consultant + Andrea</t>
        </is>
      </c>
      <c r="H2" s="3" t="inlineStr">
        <is>
          <t>Open</t>
        </is>
      </c>
    </row>
    <row r="3">
      <c r="A3" s="4" t="n">
        <v>2</v>
      </c>
      <c r="B3" s="4" t="inlineStr">
        <is>
          <t>Pipeline under-reporting -- reps on LinkedIn</t>
        </is>
      </c>
      <c r="C3" s="21" t="inlineStr">
        <is>
          <t>HIGH</t>
        </is>
      </c>
      <c r="D3" s="4" t="inlineStr">
        <is>
          <t>HIGH</t>
        </is>
      </c>
      <c r="E3" s="4" t="inlineStr">
        <is>
          <t>Forecast unreliable; CPQ adoption depends on deal entry</t>
        </is>
      </c>
      <c r="F3" s="4" t="inlineStr">
        <is>
          <t>Jodi mandates CRM usage. Board briefed on pipeline increase.</t>
        </is>
      </c>
      <c r="G3" s="4" t="inlineStr">
        <is>
          <t>Jodi</t>
        </is>
      </c>
      <c r="H3" s="4" t="inlineStr">
        <is>
          <t>Open</t>
        </is>
      </c>
    </row>
    <row r="4">
      <c r="A4" s="3" t="n">
        <v>3</v>
      </c>
      <c r="B4" s="3" t="inlineStr">
        <is>
          <t>Scope creep from close relationship</t>
        </is>
      </c>
      <c r="C4" s="21" t="inlineStr">
        <is>
          <t>HIGH</t>
        </is>
      </c>
      <c r="D4" s="3" t="inlineStr">
        <is>
          <t>MEDIUM</t>
        </is>
      </c>
      <c r="E4" s="3" t="inlineStr">
        <is>
          <t>Informal requests; budget overrun on 18-week engagement</t>
        </is>
      </c>
      <c r="F4" s="3" t="inlineStr">
        <is>
          <t>Formal SOW. Weekly hours tracking. Change request process.</t>
        </is>
      </c>
      <c r="G4" s="3" t="inlineStr">
        <is>
          <t>Consultant + Jodi</t>
        </is>
      </c>
      <c r="H4" s="3" t="inlineStr">
        <is>
          <t>Open</t>
        </is>
      </c>
    </row>
    <row r="5">
      <c r="A5" s="4" t="n">
        <v>4</v>
      </c>
      <c r="B5" s="4" t="inlineStr">
        <is>
          <t>Board ROI expectations</t>
        </is>
      </c>
      <c r="C5" s="21" t="inlineStr">
        <is>
          <t>HIGH</t>
        </is>
      </c>
      <c r="D5" s="4" t="inlineStr">
        <is>
          <t>MEDIUM</t>
        </is>
      </c>
      <c r="E5" s="4" t="inlineStr">
        <is>
          <t>Unrealistic timeline expectations</t>
        </is>
      </c>
      <c r="F5" s="4" t="inlineStr">
        <is>
          <t>Conservative ranges. 90-day check-in after Phase 1.</t>
        </is>
      </c>
      <c r="G5" s="4" t="inlineStr">
        <is>
          <t>Consultant + Jodi</t>
        </is>
      </c>
      <c r="H5" s="4" t="inlineStr">
        <is>
          <t>Open</t>
        </is>
      </c>
    </row>
    <row r="6">
      <c r="A6" s="3" t="n">
        <v>5</v>
      </c>
      <c r="B6" s="3" t="inlineStr">
        <is>
          <t>CPQ product library complexity</t>
        </is>
      </c>
      <c r="C6" s="22" t="inlineStr">
        <is>
          <t>MEDIUM</t>
        </is>
      </c>
      <c r="D6" s="3" t="inlineStr">
        <is>
          <t>HIGH</t>
        </is>
      </c>
      <c r="E6" s="3" t="inlineStr">
        <is>
          <t>HubSpot CPQ may not handle all pricing models natively</t>
        </is>
      </c>
      <c r="F6" s="3" t="inlineStr">
        <is>
          <t>Audit 5 recent quotes before build. Confirm Enterprise CPQ handles rev share.</t>
        </is>
      </c>
      <c r="G6" s="3" t="inlineStr">
        <is>
          <t>Consultant</t>
        </is>
      </c>
      <c r="H6" s="3" t="inlineStr">
        <is>
          <t>Open</t>
        </is>
      </c>
    </row>
    <row r="7">
      <c r="A7" s="4" t="n">
        <v>6</v>
      </c>
      <c r="B7" s="4" t="inlineStr">
        <is>
          <t>Seat/license confusion</t>
        </is>
      </c>
      <c r="C7" s="22" t="inlineStr">
        <is>
          <t>MEDIUM</t>
        </is>
      </c>
      <c r="D7" s="4" t="inlineStr">
        <is>
          <t>HIGH</t>
        </is>
      </c>
      <c r="E7" s="4" t="inlineStr">
        <is>
          <t>Paying for unused seats; CPQ may need specific seats</t>
        </is>
      </c>
      <c r="F7" s="4" t="inlineStr">
        <is>
          <t>License audit week 1. Cost savings memo.</t>
        </is>
      </c>
      <c r="G7" s="4" t="inlineStr">
        <is>
          <t>Consultant + Jodi</t>
        </is>
      </c>
      <c r="H7" s="4" t="inlineStr">
        <is>
          <t>Open</t>
        </is>
      </c>
    </row>
    <row r="8">
      <c r="A8" s="3" t="n">
        <v>7</v>
      </c>
      <c r="B8" s="3" t="inlineStr">
        <is>
          <t>NetSuite/Bill.com scope bleed</t>
        </is>
      </c>
      <c r="C8" s="22" t="inlineStr">
        <is>
          <t>MEDIUM</t>
        </is>
      </c>
      <c r="D8" s="3" t="inlineStr">
        <is>
          <t>MEDIUM</t>
        </is>
      </c>
      <c r="E8" s="3" t="inlineStr">
        <is>
          <t>Prep becomes build without budget</t>
        </is>
      </c>
      <c r="F8" s="3" t="inlineStr">
        <is>
          <t>Explicit boundary: prep only. Build = separate SOW.</t>
        </is>
      </c>
      <c r="G8" s="3" t="inlineStr">
        <is>
          <t>Consultant</t>
        </is>
      </c>
      <c r="H8" s="3" t="inlineStr">
        <is>
          <t>Open</t>
        </is>
      </c>
    </row>
    <row r="9">
      <c r="A9" s="4" t="n">
        <v>8</v>
      </c>
      <c r="B9" s="4" t="inlineStr">
        <is>
          <t>Adoption risk</t>
        </is>
      </c>
      <c r="C9" s="22" t="inlineStr">
        <is>
          <t>MEDIUM</t>
        </is>
      </c>
      <c r="D9" s="4" t="inlineStr">
        <is>
          <t>HIGH</t>
        </is>
      </c>
      <c r="E9" s="4" t="inlineStr">
        <is>
          <t>CRM + CPQ unused; ROI unrealized</t>
        </is>
      </c>
      <c r="F9" s="4" t="inlineStr">
        <is>
          <t>Executive mandate. Rep dashboards. Sequences reduce manual work.</t>
        </is>
      </c>
      <c r="G9" s="4" t="inlineStr">
        <is>
          <t>Jodi + Andrea</t>
        </is>
      </c>
      <c r="H9" s="4" t="inlineStr">
        <is>
          <t>Open</t>
        </is>
      </c>
    </row>
    <row r="10">
      <c r="A10" s="3" t="n">
        <v>9</v>
      </c>
      <c r="B10" s="3" t="inlineStr">
        <is>
          <t>Outlook email logging defect</t>
        </is>
      </c>
      <c r="C10" s="23" t="inlineStr">
        <is>
          <t>LOW</t>
        </is>
      </c>
      <c r="D10" s="3" t="inlineStr">
        <is>
          <t>MEDIUM</t>
        </is>
      </c>
      <c r="E10" s="3" t="inlineStr">
        <is>
          <t>HubSpot support escalation timeline</t>
        </is>
      </c>
      <c r="F10" s="3" t="inlineStr">
        <is>
          <t>Diagnose week 1. Open ticket if needed.</t>
        </is>
      </c>
      <c r="G10" s="3" t="inlineStr">
        <is>
          <t>Consultant</t>
        </is>
      </c>
      <c r="H10" s="3" t="inlineStr">
        <is>
          <t>Open</t>
        </is>
      </c>
    </row>
    <row r="11">
      <c r="A11" s="4" t="n">
        <v>10</v>
      </c>
      <c r="B11" s="4" t="inlineStr">
        <is>
          <t>COO ambiguity</t>
        </is>
      </c>
      <c r="C11" s="23" t="inlineStr">
        <is>
          <t>LOW</t>
        </is>
      </c>
      <c r="D11" s="4" t="inlineStr">
        <is>
          <t>LOW</t>
        </is>
      </c>
      <c r="E11" s="4" t="inlineStr">
        <is>
          <t>Admin access issues</t>
        </is>
      </c>
      <c r="F11" s="4" t="inlineStr">
        <is>
          <t>Clarify at kickoff.</t>
        </is>
      </c>
      <c r="G11" s="4" t="inlineStr">
        <is>
          <t>Consultant</t>
        </is>
      </c>
      <c r="H11" s="4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5" customWidth="1" min="1" max="1"/>
    <col width="85" customWidth="1" min="2" max="2"/>
  </cols>
  <sheetData>
    <row r="1">
      <c r="A1" s="5" t="inlineStr">
        <is>
          <t>Scope Assumptions</t>
        </is>
      </c>
    </row>
    <row r="2">
      <c r="A2" s="6" t="n">
        <v>1</v>
      </c>
      <c r="B2" s="6" t="inlineStr">
        <is>
          <t>HubSpot Sales Hub Enterprise (existing instance -- reconfiguration)</t>
        </is>
      </c>
      <c r="C2" s="6" t="n"/>
    </row>
    <row r="3">
      <c r="A3" s="6" t="n">
        <v>2</v>
      </c>
      <c r="B3" s="6" t="inlineStr">
        <is>
          <t>Up to 23 licensed users across core, sales, and service seats</t>
        </is>
      </c>
      <c r="C3" s="6" t="n"/>
    </row>
    <row r="4">
      <c r="A4" s="6" t="n">
        <v>3</v>
      </c>
      <c r="B4" s="6" t="inlineStr">
        <is>
          <t>Outlook as primary email platform</t>
        </is>
      </c>
      <c r="C4" s="6" t="n"/>
    </row>
    <row r="5">
      <c r="A5" s="6" t="n">
        <v>4</v>
      </c>
      <c r="B5" s="6" t="inlineStr">
        <is>
          <t>Up to 40 custom properties (expanded for CPQ and enrichment)</t>
        </is>
      </c>
      <c r="C5" s="6" t="n"/>
    </row>
    <row r="6">
      <c r="A6" s="6" t="n">
        <v>5</v>
      </c>
      <c r="B6" s="6" t="inlineStr">
        <is>
          <t>1 active sales pipeline with pre-pipeline separated</t>
        </is>
      </c>
      <c r="C6" s="6" t="n"/>
    </row>
    <row r="7">
      <c r="A7" s="6" t="n">
        <v>6</v>
      </c>
      <c r="B7" s="6" t="inlineStr">
        <is>
          <t>2 deal categories: partner-level and client-level</t>
        </is>
      </c>
      <c r="C7" s="6" t="n"/>
    </row>
    <row r="8">
      <c r="A8" s="6" t="n">
        <v>7</v>
      </c>
      <c r="B8" s="6" t="inlineStr">
        <is>
          <t>Stage probability mapping using Jodi's framework</t>
        </is>
      </c>
      <c r="C8" s="6" t="n"/>
    </row>
    <row r="9">
      <c r="A9" s="6" t="n">
        <v>8</v>
      </c>
      <c r="B9" s="6" t="inlineStr">
        <is>
          <t>AI enrichment using HubSpot Breeze credits (5-10K)</t>
        </is>
      </c>
      <c r="C9" s="6" t="n"/>
    </row>
    <row r="10">
      <c r="A10" s="6" t="n">
        <v>9</v>
      </c>
      <c r="B10" s="6" t="inlineStr">
        <is>
          <t>Up to 12 automated workflows</t>
        </is>
      </c>
      <c r="C10" s="6" t="n"/>
    </row>
    <row r="11">
      <c r="A11" s="6" t="n">
        <v>10</v>
      </c>
      <c r="B11" s="6" t="inlineStr">
        <is>
          <t>4-5 dashboards with up to 20 custom reports</t>
        </is>
      </c>
      <c r="C11" s="6" t="n"/>
    </row>
    <row r="12">
      <c r="A12" s="6" t="n">
        <v>11</v>
      </c>
      <c r="B12" s="6" t="inlineStr">
        <is>
          <t>Complete product/pricing inventory provided before CPQ build</t>
        </is>
      </c>
      <c r="C12" s="6" t="n"/>
    </row>
    <row r="13">
      <c r="A13" s="6" t="n">
        <v>12</v>
      </c>
      <c r="B13" s="6" t="inlineStr">
        <is>
          <t>CPQ hours based on industry benchmark of 40-60 hrs (Process Pro Consulting)</t>
        </is>
      </c>
      <c r="C13" s="6" t="n"/>
    </row>
    <row r="14">
      <c r="A14" s="6" t="n">
        <v>13</v>
      </c>
      <c r="B14" s="6" t="inlineStr">
        <is>
          <t>Marketing Hub leveraged for campaigns (already licensed)</t>
        </is>
      </c>
      <c r="C14" s="6" t="n"/>
    </row>
    <row r="15">
      <c r="A15" s="6" t="n">
        <v>14</v>
      </c>
      <c r="B15" s="6" t="inlineStr">
        <is>
          <t>16-18 week phased timeline</t>
        </is>
      </c>
      <c r="C15" s="6" t="n"/>
    </row>
    <row r="16">
      <c r="A16" s="6" t="n">
        <v>15</v>
      </c>
      <c r="B16" s="6" t="inlineStr">
        <is>
          <t>Phase 1 can stand alone if Phase 2 deferred</t>
        </is>
      </c>
      <c r="C16" s="6" t="n"/>
    </row>
    <row r="17">
      <c r="A17" s="6" t="n">
        <v>16</v>
      </c>
      <c r="B17" s="6" t="inlineStr">
        <is>
          <t>Estimates calibrated against prior Salesforce engagement and industry benchmarks</t>
        </is>
      </c>
      <c r="C17" s="6" t="n"/>
    </row>
    <row r="18">
      <c r="A18" s="6" t="n">
        <v>17</v>
      </c>
      <c r="B18" s="6" t="inlineStr">
        <is>
          <t>All work conducted remotely</t>
        </is>
      </c>
      <c r="C18" s="6" t="n"/>
    </row>
    <row r="19">
      <c r="A19" s="6" t="n">
        <v>18</v>
      </c>
      <c r="B19" s="6" t="inlineStr">
        <is>
          <t>Scope changes via formal change request</t>
        </is>
      </c>
      <c r="C19" s="6" t="n"/>
    </row>
    <row r="20">
      <c r="A20" s="6" t="n"/>
      <c r="B20" s="6" t="n"/>
      <c r="C20" s="6" t="n"/>
    </row>
    <row r="21">
      <c r="A21" s="6" t="inlineStr">
        <is>
          <t>Out of Scope</t>
        </is>
      </c>
      <c r="B21" s="6" t="n"/>
      <c r="C21" s="6" t="n"/>
    </row>
    <row r="22">
      <c r="A22" s="6" t="n">
        <v>1</v>
      </c>
      <c r="B22" s="6" t="inlineStr">
        <is>
          <t>NetSuite integration build (prep only)</t>
        </is>
      </c>
      <c r="C22" s="6" t="n"/>
    </row>
    <row r="23">
      <c r="A23" s="6" t="n">
        <v>2</v>
      </c>
      <c r="B23" s="6" t="inlineStr">
        <is>
          <t>Bill.com integration build (prep only)</t>
        </is>
      </c>
      <c r="C23" s="6" t="n"/>
    </row>
    <row r="24">
      <c r="A24" s="6" t="n">
        <v>3</v>
      </c>
      <c r="B24" s="6" t="inlineStr">
        <is>
          <t>Client Success pipeline (optional add-on)</t>
        </is>
      </c>
      <c r="C24" s="6" t="n"/>
    </row>
    <row r="25">
      <c r="A25" s="6" t="n">
        <v>4</v>
      </c>
      <c r="B25" s="6" t="inlineStr">
        <is>
          <t>Full commission calculation engine</t>
        </is>
      </c>
      <c r="C25" s="6" t="n"/>
    </row>
    <row r="26">
      <c r="A26" s="6" t="n">
        <v>5</v>
      </c>
      <c r="B26" s="6" t="inlineStr">
        <is>
          <t>Custom API development beyond HubSpot native</t>
        </is>
      </c>
      <c r="C26" s="6" t="n"/>
    </row>
    <row r="27">
      <c r="A27" s="6" t="n">
        <v>6</v>
      </c>
      <c r="B27" s="6" t="inlineStr">
        <is>
          <t>Other CRMs</t>
        </is>
      </c>
      <c r="C27" s="6" t="n"/>
    </row>
    <row r="28">
      <c r="A28" s="6" t="n">
        <v>7</v>
      </c>
      <c r="B28" s="6" t="inlineStr">
        <is>
          <t>External data migration</t>
        </is>
      </c>
      <c r="C28" s="6" t="n"/>
    </row>
    <row r="29">
      <c r="A29" s="6" t="n">
        <v>8</v>
      </c>
      <c r="B29" s="6" t="inlineStr">
        <is>
          <t>Managed services beyond hypercare per phase</t>
        </is>
      </c>
      <c r="C29" s="6" t="n"/>
    </row>
    <row r="30">
      <c r="A30" s="6" t="n">
        <v>9</v>
      </c>
      <c r="B30" s="6" t="inlineStr">
        <is>
          <t>License procurement</t>
        </is>
      </c>
      <c r="C30" s="6" t="n"/>
    </row>
    <row r="31">
      <c r="A31" s="6" t="n">
        <v>10</v>
      </c>
      <c r="B31" s="6" t="inlineStr">
        <is>
          <t>AI knowledge assistant</t>
        </is>
      </c>
      <c r="C31" s="6" t="n"/>
    </row>
    <row r="32">
      <c r="A32" s="6" t="n">
        <v>11</v>
      </c>
      <c r="B32" s="6" t="inlineStr">
        <is>
          <t>LinkedIn Navigator integration</t>
        </is>
      </c>
      <c r="C32" s="6" t="n"/>
    </row>
    <row r="33">
      <c r="A33" s="6" t="n"/>
      <c r="B33" s="6" t="n"/>
      <c r="C33" s="6" t="n"/>
    </row>
    <row r="34">
      <c r="A34" s="6" t="inlineStr">
        <is>
          <t>Client Responsibilities</t>
        </is>
      </c>
      <c r="B34" s="6" t="n"/>
      <c r="C34" s="6" t="n"/>
    </row>
    <row r="35">
      <c r="A35" s="6" t="n">
        <v>1</v>
      </c>
      <c r="B35" s="6" t="inlineStr">
        <is>
          <t>Designate primary POC (Andrea)</t>
        </is>
      </c>
      <c r="C35" s="6" t="n"/>
    </row>
    <row r="36">
      <c r="A36" s="6" t="n">
        <v>2</v>
      </c>
      <c r="B36" s="6" t="inlineStr">
        <is>
          <t>Jodi + Andrea availability for sessions</t>
        </is>
      </c>
      <c r="C36" s="6" t="n"/>
    </row>
    <row r="37">
      <c r="A37" s="6" t="n">
        <v>3</v>
      </c>
      <c r="B37" s="6" t="inlineStr">
        <is>
          <t>Complete product/pricing inventory before Phase 2 CPQ</t>
        </is>
      </c>
      <c r="C37" s="6" t="n"/>
    </row>
    <row r="38">
      <c r="A38" s="6" t="n">
        <v>4</v>
      </c>
      <c r="B38" s="6" t="inlineStr">
        <is>
          <t>Contact classification rules and enrichment validation</t>
        </is>
      </c>
      <c r="C38" s="6" t="n"/>
    </row>
    <row r="39">
      <c r="A39" s="6" t="n">
        <v>5</v>
      </c>
      <c r="B39" s="6" t="inlineStr">
        <is>
          <t>Deal stage definitions and probability framework</t>
        </is>
      </c>
      <c r="C39" s="6" t="n"/>
    </row>
    <row r="40">
      <c r="A40" s="6" t="n">
        <v>6</v>
      </c>
      <c r="B40" s="6" t="inlineStr">
        <is>
          <t>Close won/lost reason categories</t>
        </is>
      </c>
      <c r="C40" s="6" t="n"/>
    </row>
    <row r="41">
      <c r="A41" s="6" t="n">
        <v>7</v>
      </c>
      <c r="B41" s="6" t="inlineStr">
        <is>
          <t>Mandate CRM usage (Jodi exec sponsorship)</t>
        </is>
      </c>
      <c r="C41" s="6" t="n"/>
    </row>
    <row r="42">
      <c r="A42" s="6" t="n">
        <v>8</v>
      </c>
      <c r="B42" s="6" t="inlineStr">
        <is>
          <t>Share 3-5 recent quotes across deal types</t>
        </is>
      </c>
      <c r="C42" s="6" t="n"/>
    </row>
    <row r="43">
      <c r="A43" s="6" t="n">
        <v>9</v>
      </c>
      <c r="B43" s="6" t="inlineStr">
        <is>
          <t>UAT testing per phase</t>
        </is>
      </c>
      <c r="C43" s="6" t="n"/>
    </row>
    <row r="44">
      <c r="A44" s="6" t="n">
        <v>10</v>
      </c>
      <c r="B44" s="6" t="inlineStr">
        <is>
          <t>HubSpot admin access</t>
        </is>
      </c>
      <c r="C44" s="6" t="n"/>
    </row>
    <row r="45">
      <c r="A45" s="6" t="n">
        <v>11</v>
      </c>
      <c r="B45" s="6" t="inlineStr">
        <is>
          <t>NetSuite admin contact for integration prep</t>
        </is>
      </c>
      <c r="C45" s="6" t="n"/>
    </row>
    <row r="46">
      <c r="A46" s="6" t="n">
        <v>12</v>
      </c>
      <c r="B46" s="6" t="inlineStr">
        <is>
          <t>Commission validation requirements</t>
        </is>
      </c>
      <c r="C46" s="6" t="n"/>
    </row>
    <row r="47">
      <c r="A47" s="6" t="n"/>
      <c r="B47" s="6" t="n"/>
      <c r="C47" s="6" t="n"/>
    </row>
    <row r="48">
      <c r="A48" s="6" t="inlineStr">
        <is>
          <t>Open Items</t>
        </is>
      </c>
      <c r="B48" s="6" t="n"/>
      <c r="C48" s="6" t="n"/>
    </row>
    <row r="49">
      <c r="A49" s="6" t="n">
        <v>1</v>
      </c>
      <c r="B49" s="6" t="inlineStr">
        <is>
          <t>Contact/company/deal record counts (pending access)</t>
        </is>
      </c>
      <c r="C49" s="6" t="n"/>
    </row>
    <row r="50">
      <c r="A50" s="6" t="n">
        <v>2</v>
      </c>
      <c r="B50" s="6" t="inlineStr">
        <is>
          <t>Product/pricing inventory for CPQ</t>
        </is>
      </c>
      <c r="C50" s="6" t="n"/>
    </row>
    <row r="51">
      <c r="A51" s="6" t="n">
        <v>3</v>
      </c>
      <c r="B51" s="6" t="inlineStr">
        <is>
          <t>Service Hub usage</t>
        </is>
      </c>
      <c r="C51" s="6" t="n"/>
    </row>
    <row r="52">
      <c r="A52" s="6" t="n">
        <v>4</v>
      </c>
      <c r="B52" s="6" t="inlineStr">
        <is>
          <t>COO identity and admin access</t>
        </is>
      </c>
      <c r="C52" s="6" t="n"/>
    </row>
    <row r="53">
      <c r="A53" s="6" t="n">
        <v>5</v>
      </c>
      <c r="B53" s="6" t="inlineStr">
        <is>
          <t>Outlook defect root cause</t>
        </is>
      </c>
      <c r="C53" s="6" t="n"/>
    </row>
    <row r="54">
      <c r="A54" s="6" t="n">
        <v>6</v>
      </c>
      <c r="B54" s="6" t="inlineStr">
        <is>
          <t>Existing workflow inventory</t>
        </is>
      </c>
      <c r="C54" s="6" t="n"/>
    </row>
    <row r="55">
      <c r="A55" s="6" t="n">
        <v>7</v>
      </c>
      <c r="B55" s="6" t="inlineStr">
        <is>
          <t>Historical deal data reliability</t>
        </is>
      </c>
      <c r="C55" s="6" t="n"/>
    </row>
    <row r="56">
      <c r="A56" s="6" t="n">
        <v>8</v>
      </c>
      <c r="B56" s="6" t="inlineStr">
        <is>
          <t>Microsite form link</t>
        </is>
      </c>
      <c r="C56" s="6" t="n"/>
    </row>
    <row r="57">
      <c r="A57" s="6" t="n">
        <v>9</v>
      </c>
      <c r="B57" s="6" t="inlineStr">
        <is>
          <t>NetSuite entity structure</t>
        </is>
      </c>
      <c r="C57" s="6" t="n"/>
    </row>
    <row r="58">
      <c r="A58" s="6" t="n">
        <v>10</v>
      </c>
      <c r="B58" s="6" t="inlineStr">
        <is>
          <t>SOW signing authority</t>
        </is>
      </c>
      <c r="C58" s="6" t="n"/>
    </row>
    <row r="59">
      <c r="A59" s="6" t="n">
        <v>11</v>
      </c>
      <c r="B59" s="6" t="inlineStr">
        <is>
          <t>Divi positioning</t>
        </is>
      </c>
      <c r="C5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2026-03-22T19:17:12Z</dcterms:created>
  <dcterms:modified xmlns:dcterms="http://purl.org/dc/terms/" xmlns:xsi="http://www.w3.org/2001/XMLSchema-instance" xsi:type="dcterms:W3CDTF">2026-03-22T19:17:12Z</dcterms:modified>
</cp:coreProperties>
</file>