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ach Comparison" sheetId="1" state="visible" r:id="rId1"/>
    <sheet xmlns:r="http://schemas.openxmlformats.org/officeDocument/2006/relationships" name="Scoping Estimate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ssumptions &amp; Exclu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164" fontId="5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top" wrapText="1"/>
    </xf>
    <xf numFmtId="0" fontId="3" fillId="6" borderId="1" pivotButton="0" quotePrefix="0" xfId="0"/>
    <xf numFmtId="164" fontId="3" fillId="6" borderId="1" pivotButton="0" quotePrefix="0" xfId="0"/>
    <xf numFmtId="164" fontId="3" fillId="3" borderId="1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1" t="inlineStr">
        <is>
          <t>STRIVE Global -- CRM Foundation: Approach Comparison</t>
        </is>
      </c>
    </row>
    <row r="3">
      <c r="A3" s="2" t="inlineStr">
        <is>
          <t>Dimension</t>
        </is>
      </c>
      <c r="B3" s="2" t="inlineStr">
        <is>
          <t>Approach A: Foundation First</t>
        </is>
      </c>
      <c r="C3" s="2" t="inlineStr">
        <is>
          <t>Approach B: Quick Wins First</t>
        </is>
      </c>
    </row>
    <row r="4">
      <c r="A4" s="3" t="inlineStr">
        <is>
          <t>Description</t>
        </is>
      </c>
      <c r="B4" s="3" t="inlineStr">
        <is>
          <t>Data cleanup and contact classification first (weeks 1-4), then pipeline restructuring and dashboards (weeks 5-8). Build on clean foundation.</t>
        </is>
      </c>
      <c r="C4" s="3" t="inlineStr">
        <is>
          <t>Pipeline restructuring and dashboards first (weeks 1-4), then data cleanup and enrichment (weeks 5-8). Deliver visible wins early.</t>
        </is>
      </c>
    </row>
    <row r="5">
      <c r="A5" s="4" t="inlineStr">
        <is>
          <t>Total Hours (Median)</t>
        </is>
      </c>
      <c r="B5" s="4" t="inlineStr">
        <is>
          <t>119 hrs</t>
        </is>
      </c>
      <c r="C5" s="4" t="inlineStr">
        <is>
          <t>119 hrs</t>
        </is>
      </c>
    </row>
    <row r="6">
      <c r="A6" s="3" t="inlineStr">
        <is>
          <t>Timeline</t>
        </is>
      </c>
      <c r="B6" s="3" t="inlineStr">
        <is>
          <t>6-8 weeks</t>
        </is>
      </c>
      <c r="C6" s="3" t="inlineStr">
        <is>
          <t>6-8 weeks</t>
        </is>
      </c>
    </row>
    <row r="7">
      <c r="A7" s="4" t="inlineStr">
        <is>
          <t>Risk Level</t>
        </is>
      </c>
      <c r="B7" s="4" t="inlineStr">
        <is>
          <t>LOW -- clean data enables accurate dashboards from day one</t>
        </is>
      </c>
      <c r="C7" s="4" t="inlineStr">
        <is>
          <t>MEDIUM -- dashboards built on dirty data may show misleading metrics initially</t>
        </is>
      </c>
    </row>
    <row r="8">
      <c r="A8" s="3" t="inlineStr">
        <is>
          <t>Adoption Impact</t>
        </is>
      </c>
      <c r="B8" s="3" t="inlineStr">
        <is>
          <t>Slower initial visibility but higher trust in data when dashboards launch</t>
        </is>
      </c>
      <c r="C8" s="3" t="inlineStr">
        <is>
          <t>Faster dashboard delivery but reps may distrust inaccurate early reports</t>
        </is>
      </c>
    </row>
    <row r="9">
      <c r="A9" s="4" t="inlineStr">
        <is>
          <t>Change Management</t>
        </is>
      </c>
      <c r="B9" s="4" t="inlineStr">
        <is>
          <t>Gradual -- team sees data improving before process changes</t>
        </is>
      </c>
      <c r="C9" s="4" t="inlineStr">
        <is>
          <t>Immediate -- team gets new pipeline and dashboards right away</t>
        </is>
      </c>
    </row>
    <row r="10">
      <c r="A10" s="3" t="inlineStr">
        <is>
          <t>Dependency Risk</t>
        </is>
      </c>
      <c r="B10" s="3" t="inlineStr">
        <is>
          <t>LOW -- data cleanup is independent of other workstreams</t>
        </is>
      </c>
      <c r="C10" s="3" t="inlineStr">
        <is>
          <t>MEDIUM -- dashboards depend on data quality for accuracy</t>
        </is>
      </c>
    </row>
    <row r="11">
      <c r="A11" s="4" t="inlineStr">
        <is>
          <t>Client Resource Demand</t>
        </is>
      </c>
      <c r="B11" s="4" t="inlineStr">
        <is>
          <t>Higher upfront (contact exports, classification rules, validation)</t>
        </is>
      </c>
      <c r="C11" s="4" t="inlineStr">
        <is>
          <t>Lower upfront but higher mid-project for data cleanup</t>
        </is>
      </c>
    </row>
    <row r="12">
      <c r="A12" s="3" t="inlineStr">
        <is>
          <t>Board Reporting Value</t>
        </is>
      </c>
      <c r="B12" s="3" t="inlineStr">
        <is>
          <t>Clean, trustworthy reports available by week 6</t>
        </is>
      </c>
      <c r="C12" s="3" t="inlineStr">
        <is>
          <t>Reports available by week 4 but accuracy improves through week 8</t>
        </is>
      </c>
    </row>
    <row r="13">
      <c r="A13" s="4" t="inlineStr">
        <is>
          <t>Cost</t>
        </is>
      </c>
      <c r="B13" s="4" t="inlineStr">
        <is>
          <t>$17,850 (median at $150/hr)</t>
        </is>
      </c>
      <c r="C13" s="4" t="inlineStr">
        <is>
          <t>$17,850 (median at $150/hr)</t>
        </is>
      </c>
    </row>
    <row r="15">
      <c r="A15" s="5" t="inlineStr">
        <is>
          <t>Recommendation</t>
        </is>
      </c>
    </row>
    <row r="16">
      <c r="A16" s="6" t="inlineStr">
        <is>
          <t>Approach A: Foundation First is recommended. STRIVE has 10 years of uncoded contact data and unreliable pipeline metrics. Building dashboards on dirty data risks eroding trust in the CRM before it has a chance to prove value. Clean the data first, then deliver dashboards that the team and board can trust from day one. This also aligns with Jodi's emphasis on building a strong data infrastructure as the foundation for future AI capabilities.</t>
        </is>
      </c>
    </row>
  </sheetData>
  <mergeCells count="3">
    <mergeCell ref="A1:C1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50" customWidth="1" min="10" max="10"/>
    <col width="14" customWidth="1" min="11" max="11"/>
    <col width="14" customWidth="1" min="12" max="12"/>
    <col width="12" customWidth="1" min="13" max="13"/>
  </cols>
  <sheetData>
    <row r="1">
      <c r="A1" s="7" t="inlineStr">
        <is>
          <t>Hourly Rate:</t>
        </is>
      </c>
      <c r="B1" s="8" t="n">
        <v>150</v>
      </c>
    </row>
    <row r="3">
      <c r="A3" s="2" t="inlineStr">
        <is>
          <t>Workstream</t>
        </is>
      </c>
      <c r="B3" s="2" t="inlineStr">
        <is>
          <t>Description</t>
        </is>
      </c>
      <c r="C3" s="2" t="inlineStr">
        <is>
          <t>Min Hours</t>
        </is>
      </c>
      <c r="D3" s="2" t="inlineStr">
        <is>
          <t>Max Hours</t>
        </is>
      </c>
      <c r="E3" s="2" t="inlineStr">
        <is>
          <t>Median Hours</t>
        </is>
      </c>
      <c r="F3" s="2" t="inlineStr">
        <is>
          <t>Rate</t>
        </is>
      </c>
      <c r="G3" s="2" t="inlineStr">
        <is>
          <t>Min Cost</t>
        </is>
      </c>
      <c r="H3" s="2" t="inlineStr">
        <is>
          <t>Max Cost</t>
        </is>
      </c>
      <c r="I3" s="2" t="inlineStr">
        <is>
          <t>Median Cost</t>
        </is>
      </c>
      <c r="J3" s="2" t="inlineStr">
        <is>
          <t>Notes / Assumptions</t>
        </is>
      </c>
      <c r="K3" s="9" t="inlineStr">
        <is>
          <t>Actual Hours</t>
        </is>
      </c>
      <c r="L3" s="9" t="inlineStr">
        <is>
          <t>Actual Cost</t>
        </is>
      </c>
      <c r="M3" s="9" t="inlineStr">
        <is>
          <t>Variance</t>
        </is>
      </c>
    </row>
    <row r="4">
      <c r="A4" s="3" t="inlineStr">
        <is>
          <t>CRM Architecture &amp; Config Review</t>
        </is>
      </c>
      <c r="B4" s="3" t="inlineStr">
        <is>
          <t>Portal audit, user roles/permissions, team structure reconfiguration for existing Enterprise instance</t>
        </is>
      </c>
      <c r="C4" s="3" t="n">
        <v>6</v>
      </c>
      <c r="D4" s="3" t="n">
        <v>12</v>
      </c>
      <c r="E4" s="3">
        <f>AVERAGE(C4,D4)</f>
        <v/>
      </c>
      <c r="F4" s="3">
        <f>$B$1</f>
        <v/>
      </c>
      <c r="G4" s="10">
        <f>C4*$B$1</f>
        <v/>
      </c>
      <c r="H4" s="10">
        <f>D4*$B$1</f>
        <v/>
      </c>
      <c r="I4" s="10">
        <f>E4*$B$1</f>
        <v/>
      </c>
      <c r="J4" s="3" t="inlineStr">
        <is>
          <t>Assumes existing HubSpot Sales Hub Enterprise. Up to 23 seat users across sales, core, and service.</t>
        </is>
      </c>
      <c r="K4" s="11" t="n"/>
      <c r="L4" s="12" t="n"/>
      <c r="M4" s="11">
        <f>IF(K4="","",K4-E4)</f>
        <v/>
      </c>
    </row>
    <row r="5">
      <c r="A5" s="4" t="inlineStr">
        <is>
          <t>Pipeline Restructuring</t>
        </is>
      </c>
      <c r="B5" s="4" t="inlineStr">
        <is>
          <t>Separate pre-pipeline from active pipeline. Partner-level vs. client-level deal categories. Stage probability mapping (5/20/40/50/60/80/90/100). Required fields per stage. Add Contracting stage.</t>
        </is>
      </c>
      <c r="C5" s="4" t="n">
        <v>10</v>
      </c>
      <c r="D5" s="4" t="n">
        <v>18</v>
      </c>
      <c r="E5" s="4">
        <f>AVERAGE(C5,D5)</f>
        <v/>
      </c>
      <c r="F5" s="4">
        <f>$B$1</f>
        <v/>
      </c>
      <c r="G5" s="13">
        <f>C5*$B$1</f>
        <v/>
      </c>
      <c r="H5" s="13">
        <f>D5*$B$1</f>
        <v/>
      </c>
      <c r="I5" s="13">
        <f>E5*$B$1</f>
        <v/>
      </c>
      <c r="J5" s="4" t="inlineStr">
        <is>
          <t>Two deal categories (partner, client) in same pipeline. Pre-pipeline as separate pipeline or board. Jodi's probability framework as starting point.</t>
        </is>
      </c>
      <c r="K5" s="11" t="n"/>
      <c r="L5" s="12" t="n"/>
      <c r="M5" s="11">
        <f>IF(K5="","",K5-E5)</f>
        <v/>
      </c>
    </row>
    <row r="6">
      <c r="A6" s="3" t="inlineStr">
        <is>
          <t>Contact &amp; Company Classification + Cleanup</t>
        </is>
      </c>
      <c r="B6" s="3" t="inlineStr">
        <is>
          <t>Contact type taxonomy (client/prospect/broker/partner). AI enrichment using HubSpot Breeze credits. Normalization, deduplication, association fixes.</t>
        </is>
      </c>
      <c r="C6" s="3" t="n">
        <v>14</v>
      </c>
      <c r="D6" s="3" t="n">
        <v>24</v>
      </c>
      <c r="E6" s="3">
        <f>AVERAGE(C6,D6)</f>
        <v/>
      </c>
      <c r="F6" s="3">
        <f>$B$1</f>
        <v/>
      </c>
      <c r="G6" s="10">
        <f>C6*$B$1</f>
        <v/>
      </c>
      <c r="H6" s="10">
        <f>D6*$B$1</f>
        <v/>
      </c>
      <c r="I6" s="10">
        <f>E6*$B$1</f>
        <v/>
      </c>
      <c r="J6" s="3" t="inlineStr">
        <is>
          <t>10 years of uncoded data. +30-50% data quality premium applied. Includes pilot enrichment on 500 records. Assumes up to 30 custom properties.</t>
        </is>
      </c>
      <c r="K6" s="11" t="n"/>
      <c r="L6" s="12" t="n"/>
      <c r="M6" s="11">
        <f>IF(K6="","",K6-E6)</f>
        <v/>
      </c>
    </row>
    <row r="7">
      <c r="A7" s="4" t="inlineStr">
        <is>
          <t>Deal Health Scoring &amp; Forecasting</t>
        </is>
      </c>
      <c r="B7" s="4" t="inlineStr">
        <is>
          <t>Deal score based on stage + time-in-stage + activity recency. Healthy/at-risk/stale classification. Standardized close won/lost reasons (replace free-form with categorized dropdowns).</t>
        </is>
      </c>
      <c r="C7" s="4" t="n">
        <v>6</v>
      </c>
      <c r="D7" s="4" t="n">
        <v>12</v>
      </c>
      <c r="E7" s="4">
        <f>AVERAGE(C7,D7)</f>
        <v/>
      </c>
      <c r="F7" s="4">
        <f>$B$1</f>
        <v/>
      </c>
      <c r="G7" s="13">
        <f>C7*$B$1</f>
        <v/>
      </c>
      <c r="H7" s="13">
        <f>D7*$B$1</f>
        <v/>
      </c>
      <c r="I7" s="13">
        <f>E7*$B$1</f>
        <v/>
      </c>
      <c r="J7" s="4" t="inlineStr">
        <is>
          <t>Scoring formula and thresholds defined collaboratively with Andrea and Jodi.</t>
        </is>
      </c>
      <c r="K7" s="11" t="n"/>
      <c r="L7" s="12" t="n"/>
      <c r="M7" s="11">
        <f>IF(K7="","",K7-E7)</f>
        <v/>
      </c>
    </row>
    <row r="8">
      <c r="A8" s="3" t="inlineStr">
        <is>
          <t>Reporting &amp; Dashboards</t>
        </is>
      </c>
      <c r="B8" s="3" t="inlineStr">
        <is>
          <t>Partner dashboard (clonable with quick filters). Seller-specific KPI dashboard. CEO/board dashboard (sales revenue, new business, pipeline health). Up to 12 custom reports.</t>
        </is>
      </c>
      <c r="C8" s="3" t="n">
        <v>10</v>
      </c>
      <c r="D8" s="3" t="n">
        <v>18</v>
      </c>
      <c r="E8" s="3">
        <f>AVERAGE(C8,D8)</f>
        <v/>
      </c>
      <c r="F8" s="3">
        <f>$B$1</f>
        <v/>
      </c>
      <c r="G8" s="10">
        <f>C8*$B$1</f>
        <v/>
      </c>
      <c r="H8" s="10">
        <f>D8*$B$1</f>
        <v/>
      </c>
      <c r="I8" s="10">
        <f>E8*$B$1</f>
        <v/>
      </c>
      <c r="J8" s="3" t="inlineStr">
        <is>
          <t>Includes: open deals, pipeline value, avg deals/week, closed-won revenue, loss reasons, avg deal size, avg term length, appointments, contacts added.</t>
        </is>
      </c>
      <c r="K8" s="11" t="n"/>
      <c r="L8" s="12" t="n"/>
      <c r="M8" s="11">
        <f>IF(K8="","",K8-E8)</f>
        <v/>
      </c>
    </row>
    <row r="9">
      <c r="A9" s="4" t="inlineStr">
        <is>
          <t>Automations &amp; Workflows</t>
        </is>
      </c>
      <c r="B9" s="4" t="inlineStr">
        <is>
          <t>Fix Outlook email logging issue. Lead source tracking automation. Form-to-CRM for microsite client capture. Deal stage-change notifications. Duplicate protection rules.</t>
        </is>
      </c>
      <c r="C9" s="4" t="n">
        <v>8</v>
      </c>
      <c r="D9" s="4" t="n">
        <v>16</v>
      </c>
      <c r="E9" s="4">
        <f>AVERAGE(C9,D9)</f>
        <v/>
      </c>
      <c r="F9" s="4">
        <f>$B$1</f>
        <v/>
      </c>
      <c r="G9" s="13">
        <f>C9*$B$1</f>
        <v/>
      </c>
      <c r="H9" s="13">
        <f>D9*$B$1</f>
        <v/>
      </c>
      <c r="I9" s="13">
        <f>E9*$B$1</f>
        <v/>
      </c>
      <c r="J9" s="4" t="inlineStr">
        <is>
          <t>Up to 8 automated workflows. Outlook fix may require HubSpot support ticket if platform bug.</t>
        </is>
      </c>
      <c r="K9" s="11" t="n"/>
      <c r="L9" s="12" t="n"/>
      <c r="M9" s="11">
        <f>IF(K9="","",K9-E9)</f>
        <v/>
      </c>
    </row>
    <row r="10">
      <c r="A10" s="3" t="inlineStr">
        <is>
          <t>Email &amp; Communication Fix</t>
        </is>
      </c>
      <c r="B10" s="3" t="inlineStr">
        <is>
          <t>Outlook integration audit and fix. Email association rules to prevent logging to all related deals. Domain exclusions for internal communications.</t>
        </is>
      </c>
      <c r="C10" s="3" t="n">
        <v>4</v>
      </c>
      <c r="D10" s="3" t="n">
        <v>8</v>
      </c>
      <c r="E10" s="3">
        <f>AVERAGE(C10,D10)</f>
        <v/>
      </c>
      <c r="F10" s="3">
        <f>$B$1</f>
        <v/>
      </c>
      <c r="G10" s="10">
        <f>C10*$B$1</f>
        <v/>
      </c>
      <c r="H10" s="10">
        <f>D10*$B$1</f>
        <v/>
      </c>
      <c r="I10" s="10">
        <f>E10*$B$1</f>
        <v/>
      </c>
      <c r="J10" s="3" t="inlineStr">
        <is>
          <t>Root cause diagnosis in week 1. If config fix: 2-4 hrs. If platform bug: HubSpot support escalation.</t>
        </is>
      </c>
      <c r="K10" s="11" t="n"/>
      <c r="L10" s="12" t="n"/>
      <c r="M10" s="11">
        <f>IF(K10="","",K10-E10)</f>
        <v/>
      </c>
    </row>
    <row r="11">
      <c r="A11" s="4" t="inlineStr">
        <is>
          <t>Training: Admin</t>
        </is>
      </c>
      <c r="B11" s="4" t="inlineStr">
        <is>
          <t>Andrea + designated admin. Pipeline management, reporting, workflow administration, data hygiene practices, enrichment tool usage.</t>
        </is>
      </c>
      <c r="C11" s="4" t="n">
        <v>4</v>
      </c>
      <c r="D11" s="4" t="n">
        <v>8</v>
      </c>
      <c r="E11" s="4">
        <f>AVERAGE(C11,D11)</f>
        <v/>
      </c>
      <c r="F11" s="4">
        <f>$B$1</f>
        <v/>
      </c>
      <c r="G11" s="13">
        <f>C11*$B$1</f>
        <v/>
      </c>
      <c r="H11" s="13">
        <f>D11*$B$1</f>
        <v/>
      </c>
      <c r="I11" s="13">
        <f>E11*$B$1</f>
        <v/>
      </c>
      <c r="J11" s="4" t="inlineStr">
        <is>
          <t>1-2 sessions. Includes recorded walkthrough for future reference.</t>
        </is>
      </c>
      <c r="K11" s="11" t="n"/>
      <c r="L11" s="12" t="n"/>
      <c r="M11" s="11">
        <f>IF(K11="","",K11-E11)</f>
        <v/>
      </c>
    </row>
    <row r="12">
      <c r="A12" s="3" t="inlineStr">
        <is>
          <t>Training: End Users</t>
        </is>
      </c>
      <c r="B12" s="3" t="inlineStr">
        <is>
          <t>Sales team. Daily CRM usage, deal entry, activity logging, dashboard consumption, mobile app setup.</t>
        </is>
      </c>
      <c r="C12" s="3" t="n">
        <v>6</v>
      </c>
      <c r="D12" s="3" t="n">
        <v>10</v>
      </c>
      <c r="E12" s="3">
        <f>AVERAGE(C12,D12)</f>
        <v/>
      </c>
      <c r="F12" s="3">
        <f>$B$1</f>
        <v/>
      </c>
      <c r="G12" s="10">
        <f>C12*$B$1</f>
        <v/>
      </c>
      <c r="H12" s="10">
        <f>D12*$B$1</f>
        <v/>
      </c>
      <c r="I12" s="10">
        <f>E12*$B$1</f>
        <v/>
      </c>
      <c r="J12" s="3" t="inlineStr">
        <is>
          <t>2-3 sessions. Tailored to current team size and workflow.</t>
        </is>
      </c>
      <c r="K12" s="11" t="n"/>
      <c r="L12" s="12" t="n"/>
      <c r="M12" s="11">
        <f>IF(K12="","",K12-E12)</f>
        <v/>
      </c>
    </row>
    <row r="13">
      <c r="A13" s="4" t="inlineStr">
        <is>
          <t>Training: Executive</t>
        </is>
      </c>
      <c r="B13" s="4" t="inlineStr">
        <is>
          <t>Jodi. Board dashboard walkthrough, forecast consumption, report scheduling, export for board decks.</t>
        </is>
      </c>
      <c r="C13" s="4" t="n">
        <v>2</v>
      </c>
      <c r="D13" s="4" t="n">
        <v>4</v>
      </c>
      <c r="E13" s="4">
        <f>AVERAGE(C13,D13)</f>
        <v/>
      </c>
      <c r="F13" s="4">
        <f>$B$1</f>
        <v/>
      </c>
      <c r="G13" s="13">
        <f>C13*$B$1</f>
        <v/>
      </c>
      <c r="H13" s="13">
        <f>D13*$B$1</f>
        <v/>
      </c>
      <c r="I13" s="13">
        <f>E13*$B$1</f>
        <v/>
      </c>
      <c r="J13" s="4" t="inlineStr">
        <is>
          <t>1 session. Focused on CEO dashboard and board reporting.</t>
        </is>
      </c>
      <c r="K13" s="11" t="n"/>
      <c r="L13" s="12" t="n"/>
      <c r="M13" s="11">
        <f>IF(K13="","",K13-E13)</f>
        <v/>
      </c>
    </row>
    <row r="14">
      <c r="A14" s="3" t="inlineStr">
        <is>
          <t>UAT, Go-Live &amp; Documentation</t>
        </is>
      </c>
      <c r="B14" s="3" t="inlineStr">
        <is>
          <t>Test scripts, 2 UAT sessions with key stakeholders, bug fix window, go-live cutover plan. Deliverables: 1 admin guide, 1 user guide. 2-week hypercare post-launch.</t>
        </is>
      </c>
      <c r="C14" s="3" t="n">
        <v>6</v>
      </c>
      <c r="D14" s="3" t="n">
        <v>10</v>
      </c>
      <c r="E14" s="3">
        <f>AVERAGE(C14,D14)</f>
        <v/>
      </c>
      <c r="F14" s="3">
        <f>$B$1</f>
        <v/>
      </c>
      <c r="G14" s="10">
        <f>C14*$B$1</f>
        <v/>
      </c>
      <c r="H14" s="10">
        <f>D14*$B$1</f>
        <v/>
      </c>
      <c r="I14" s="10">
        <f>E14*$B$1</f>
        <v/>
      </c>
      <c r="J14" s="3" t="inlineStr">
        <is>
          <t>Hypercare includes issue resolution and adoption coaching.</t>
        </is>
      </c>
      <c r="K14" s="11" t="n"/>
      <c r="L14" s="12" t="n"/>
      <c r="M14" s="11">
        <f>IF(K14="","",K14-E14)</f>
        <v/>
      </c>
    </row>
    <row r="15">
      <c r="A15" s="4" t="inlineStr">
        <is>
          <t>Project Management</t>
        </is>
      </c>
      <c r="B15" s="4" t="inlineStr">
        <is>
          <t>Kickoff, weekly syncs, status updates, change management, milestone reviews.</t>
        </is>
      </c>
      <c r="C15" s="4" t="n">
        <v>10</v>
      </c>
      <c r="D15" s="4" t="n">
        <v>16</v>
      </c>
      <c r="E15" s="4">
        <f>AVERAGE(C15,D15)</f>
        <v/>
      </c>
      <c r="F15" s="4">
        <f>$B$1</f>
        <v/>
      </c>
      <c r="G15" s="13">
        <f>C15*$B$1</f>
        <v/>
      </c>
      <c r="H15" s="13">
        <f>D15*$B$1</f>
        <v/>
      </c>
      <c r="I15" s="13">
        <f>E15*$B$1</f>
        <v/>
      </c>
      <c r="J15" s="4" t="inlineStr">
        <is>
          <t>~12% of total estimated hours.</t>
        </is>
      </c>
      <c r="K15" s="11" t="n"/>
      <c r="L15" s="12" t="n"/>
      <c r="M15" s="11">
        <f>IF(K15="","",K15-E15)</f>
        <v/>
      </c>
    </row>
    <row r="16">
      <c r="A16" s="14" t="inlineStr">
        <is>
          <t>TOTAL</t>
        </is>
      </c>
      <c r="C16" s="15">
        <f>SUM(C4:C15)</f>
        <v/>
      </c>
      <c r="D16" s="15">
        <f>SUM(D4:D15)</f>
        <v/>
      </c>
      <c r="E16" s="15">
        <f>SUM(E4:E15)</f>
        <v/>
      </c>
      <c r="F16" s="14">
        <f>$B$1</f>
        <v/>
      </c>
      <c r="G16" s="16">
        <f>SUM(G4:G15)</f>
        <v/>
      </c>
      <c r="H16" s="16">
        <f>SUM(H4:H15)</f>
        <v/>
      </c>
      <c r="I16" s="16">
        <f>SUM(I4:I15)</f>
        <v/>
      </c>
      <c r="K16" s="11">
        <f>SUM(K4:K15)</f>
        <v/>
      </c>
      <c r="L16" s="12">
        <f>SUM(L4:L15)</f>
        <v/>
      </c>
      <c r="M16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2" customWidth="1" min="4" max="4"/>
    <col width="40" customWidth="1" min="5" max="5"/>
    <col width="50" customWidth="1" min="6" max="6"/>
    <col width="25" customWidth="1" min="7" max="7"/>
    <col width="10" customWidth="1" min="8" max="8"/>
  </cols>
  <sheetData>
    <row r="1">
      <c r="A1" s="2" t="inlineStr">
        <is>
          <t>#</t>
        </is>
      </c>
      <c r="B1" s="2" t="inlineStr">
        <is>
          <t>Risk</t>
        </is>
      </c>
      <c r="C1" s="2" t="inlineStr">
        <is>
          <t>Severity</t>
        </is>
      </c>
      <c r="D1" s="2" t="inlineStr">
        <is>
          <t>Likelihood</t>
        </is>
      </c>
      <c r="E1" s="2" t="inlineStr">
        <is>
          <t>Impact</t>
        </is>
      </c>
      <c r="F1" s="2" t="inlineStr">
        <is>
          <t>Mitigation</t>
        </is>
      </c>
      <c r="G1" s="2" t="inlineStr">
        <is>
          <t>Owner</t>
        </is>
      </c>
      <c r="H1" s="2" t="inlineStr">
        <is>
          <t>Status</t>
        </is>
      </c>
    </row>
    <row r="2">
      <c r="A2" s="3" t="n">
        <v>1</v>
      </c>
      <c r="B2" s="3" t="inlineStr">
        <is>
          <t>10 years of uncoded contact data -- AI enrichment scope may exceed estimates</t>
        </is>
      </c>
      <c r="C2" s="17" t="inlineStr">
        <is>
          <t>HIGH</t>
        </is>
      </c>
      <c r="D2" s="3" t="inlineStr">
        <is>
          <t>HIGH</t>
        </is>
      </c>
      <c r="E2" s="3" t="inlineStr">
        <is>
          <t>Data cleanup takes 2-3x estimate; marketing segmentation delayed; project timeline extends</t>
        </is>
      </c>
      <c r="F2" s="3" t="inlineStr">
        <is>
          <t>Run AI enrichment pilot on 500 records first. Measure classification accuracy before committing to full database run. Budget 30% buffer.</t>
        </is>
      </c>
      <c r="G2" s="3" t="inlineStr">
        <is>
          <t>Consultant + Andrea</t>
        </is>
      </c>
      <c r="H2" s="3" t="inlineStr">
        <is>
          <t>Open</t>
        </is>
      </c>
    </row>
    <row r="3">
      <c r="A3" s="4" t="n">
        <v>2</v>
      </c>
      <c r="B3" s="4" t="inlineStr">
        <is>
          <t>Pipeline under-reporting -- reps using LinkedIn and manual quoting outside CRM</t>
        </is>
      </c>
      <c r="C3" s="17" t="inlineStr">
        <is>
          <t>HIGH</t>
        </is>
      </c>
      <c r="D3" s="4" t="inlineStr">
        <is>
          <t>HIGH</t>
        </is>
      </c>
      <c r="E3" s="4" t="inlineStr">
        <is>
          <t>Forecasting unreliable during transition; board sees pipeline dip before improvement</t>
        </is>
      </c>
      <c r="F3" s="4" t="inlineStr">
        <is>
          <t>Jodi mandates CRM usage pre-launch. Set data entry expectations. Brief board that reported pipeline will increase as capture improves (not because business grew).</t>
        </is>
      </c>
      <c r="G3" s="4" t="inlineStr">
        <is>
          <t>Jodi (executive sponsor)</t>
        </is>
      </c>
      <c r="H3" s="4" t="inlineStr">
        <is>
          <t>Open</t>
        </is>
      </c>
    </row>
    <row r="4">
      <c r="A4" s="3" t="n">
        <v>3</v>
      </c>
      <c r="B4" s="3" t="inlineStr">
        <is>
          <t>Scope creep from close business relationship (shared office, referrals)</t>
        </is>
      </c>
      <c r="C4" s="17" t="inlineStr">
        <is>
          <t>HIGH</t>
        </is>
      </c>
      <c r="D4" s="3" t="inlineStr">
        <is>
          <t>MEDIUM</t>
        </is>
      </c>
      <c r="E4" s="3" t="inlineStr">
        <is>
          <t>Informal requests bypass SOW; hours consumed without authorization; budget overrun</t>
        </is>
      </c>
      <c r="F4" s="3" t="inlineStr">
        <is>
          <t>SOW signed by budget authority. All change requests documented formally. Weekly hours tracking visible to client.</t>
        </is>
      </c>
      <c r="G4" s="3" t="inlineStr">
        <is>
          <t>Consultant + Jodi</t>
        </is>
      </c>
      <c r="H4" s="3" t="inlineStr">
        <is>
          <t>Open</t>
        </is>
      </c>
    </row>
    <row r="5">
      <c r="A5" s="4" t="n">
        <v>4</v>
      </c>
      <c r="B5" s="4" t="inlineStr">
        <is>
          <t>Board ROI expectations -- if narrative overpromises, credibility risk</t>
        </is>
      </c>
      <c r="C5" s="17" t="inlineStr">
        <is>
          <t>HIGH</t>
        </is>
      </c>
      <c r="D5" s="4" t="inlineStr">
        <is>
          <t>MEDIUM</t>
        </is>
      </c>
      <c r="E5" s="4" t="inlineStr">
        <is>
          <t>Board approves but expects unrealistic timeline or savings; sets up failure</t>
        </is>
      </c>
      <c r="F5" s="4" t="inlineStr">
        <is>
          <t>ROI narrative uses conservative estimates with ranges, not point values. Tie ROI to measurable KPIs with 90-day check-in.</t>
        </is>
      </c>
      <c r="G5" s="4" t="inlineStr">
        <is>
          <t>Consultant + Jodi</t>
        </is>
      </c>
      <c r="H5" s="4" t="inlineStr">
        <is>
          <t>Open</t>
        </is>
      </c>
    </row>
    <row r="6">
      <c r="A6" s="3" t="n">
        <v>5</v>
      </c>
      <c r="B6" s="3" t="inlineStr">
        <is>
          <t>Seat/license confusion -- mixed versions across users, potential unused seats</t>
        </is>
      </c>
      <c r="C6" s="18" t="inlineStr">
        <is>
          <t>MEDIUM</t>
        </is>
      </c>
      <c r="D6" s="3" t="inlineStr">
        <is>
          <t>HIGH</t>
        </is>
      </c>
      <c r="E6" s="3" t="inlineStr">
        <is>
          <t>Paying for unused seats; features expected but unavailable on current tier</t>
        </is>
      </c>
      <c r="F6" s="3" t="inlineStr">
        <is>
          <t>Complete license audit in week 1. Produce cost savings memo before any configuration work.</t>
        </is>
      </c>
      <c r="G6" s="3" t="inlineStr">
        <is>
          <t>Consultant + Jodi</t>
        </is>
      </c>
      <c r="H6" s="3" t="inlineStr">
        <is>
          <t>Open</t>
        </is>
      </c>
    </row>
    <row r="7">
      <c r="A7" s="4" t="n">
        <v>6</v>
      </c>
      <c r="B7" s="4" t="inlineStr">
        <is>
          <t>Adoption risk -- sales reps prefer LinkedIn Sales Navigator over CRM</t>
        </is>
      </c>
      <c r="C7" s="18" t="inlineStr">
        <is>
          <t>MEDIUM</t>
        </is>
      </c>
      <c r="D7" s="4" t="inlineStr">
        <is>
          <t>HIGH</t>
        </is>
      </c>
      <c r="E7" s="4" t="inlineStr">
        <is>
          <t>New CRM configuration goes unused; ROI unrealized; board investment wasted</t>
        </is>
      </c>
      <c r="F7" s="4" t="inlineStr">
        <is>
          <t>Executive mandate from Jodi. Make CRM easier than alternatives (mobile, one-click logging). Rep-level dashboards show their own metrics.</t>
        </is>
      </c>
      <c r="G7" s="4" t="inlineStr">
        <is>
          <t>Jodi + Andrea</t>
        </is>
      </c>
      <c r="H7" s="4" t="inlineStr">
        <is>
          <t>Open</t>
        </is>
      </c>
    </row>
    <row r="8">
      <c r="A8" s="3" t="n">
        <v>7</v>
      </c>
      <c r="B8" s="3" t="inlineStr">
        <is>
          <t>Outlook email logging defect -- emails logging to all associated deals</t>
        </is>
      </c>
      <c r="C8" s="19" t="inlineStr">
        <is>
          <t>LOW</t>
        </is>
      </c>
      <c r="D8" s="3" t="inlineStr">
        <is>
          <t>MEDIUM</t>
        </is>
      </c>
      <c r="E8" s="3" t="inlineStr">
        <is>
          <t>Fix may require HubSpot support escalation with unknown timeline; workaround needed in interim</t>
        </is>
      </c>
      <c r="F8" s="3" t="inlineStr">
        <is>
          <t>Diagnose root cause in week 1. If platform bug, open HubSpot support ticket immediately and track SLA.</t>
        </is>
      </c>
      <c r="G8" s="3" t="inlineStr">
        <is>
          <t>Consultant</t>
        </is>
      </c>
      <c r="H8" s="3" t="inlineStr">
        <is>
          <t>Open</t>
        </is>
      </c>
    </row>
    <row r="9">
      <c r="A9" s="4" t="n">
        <v>8</v>
      </c>
      <c r="B9" s="4" t="inlineStr">
        <is>
          <t>COO identity ambiguity -- Lauren vs. Zach Beegal referenced in different calls</t>
        </is>
      </c>
      <c r="C9" s="19" t="inlineStr">
        <is>
          <t>LOW</t>
        </is>
      </c>
      <c r="D9" s="4" t="inlineStr">
        <is>
          <t>LOW</t>
        </is>
      </c>
      <c r="E9" s="4" t="inlineStr">
        <is>
          <t>Miscommunication on stakeholder authority; NDA or admin access granted to wrong person</t>
        </is>
      </c>
      <c r="F9" s="4" t="inlineStr">
        <is>
          <t>Clarify org chart and who controls HubSpot admin access during kickoff.</t>
        </is>
      </c>
      <c r="G9" s="4" t="inlineStr">
        <is>
          <t>Consultant</t>
        </is>
      </c>
      <c r="H9" s="4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30" customWidth="1" min="3" max="3"/>
  </cols>
  <sheetData>
    <row r="1">
      <c r="A1" s="5" t="inlineStr">
        <is>
          <t>Scope Assumptions</t>
        </is>
      </c>
    </row>
    <row r="2">
      <c r="A2" s="6" t="n">
        <v>1</v>
      </c>
      <c r="B2" s="6" t="inlineStr">
        <is>
          <t>HubSpot Sales Hub Enterprise (existing instance -- reconfiguration, not net-new setup)</t>
        </is>
      </c>
      <c r="C2" s="6" t="n"/>
    </row>
    <row r="3">
      <c r="A3" s="6" t="n">
        <v>2</v>
      </c>
      <c r="B3" s="6" t="inlineStr">
        <is>
          <t>Up to 23 licensed users across 3 core, 10 sales, and 10 service seats</t>
        </is>
      </c>
      <c r="C3" s="6" t="n"/>
    </row>
    <row r="4">
      <c r="A4" s="6" t="n">
        <v>3</v>
      </c>
      <c r="B4" s="6" t="inlineStr">
        <is>
          <t>Outlook as primary email platform (with known logging defect to be resolved)</t>
        </is>
      </c>
      <c r="C4" s="6" t="n"/>
    </row>
    <row r="5">
      <c r="A5" s="6" t="n">
        <v>4</v>
      </c>
      <c r="B5" s="6" t="inlineStr">
        <is>
          <t>Up to 30 custom contact/company properties</t>
        </is>
      </c>
      <c r="C5" s="6" t="n"/>
    </row>
    <row r="6">
      <c r="A6" s="6" t="n">
        <v>5</v>
      </c>
      <c r="B6" s="6" t="inlineStr">
        <is>
          <t>1 active sales pipeline with pre-pipeline separated (new pipeline or board view)</t>
        </is>
      </c>
      <c r="C6" s="6" t="n"/>
    </row>
    <row r="7">
      <c r="A7" s="6" t="n">
        <v>6</v>
      </c>
      <c r="B7" s="6" t="inlineStr">
        <is>
          <t>2 deal categories: partner-level and client-level (same stages, different segmentation)</t>
        </is>
      </c>
      <c r="C7" s="6" t="n"/>
    </row>
    <row r="8">
      <c r="A8" s="6" t="n">
        <v>7</v>
      </c>
      <c r="B8" s="6" t="inlineStr">
        <is>
          <t>Stage probability mapping using Jodi's framework as starting point (5/20/40/50/60/80/90/100)</t>
        </is>
      </c>
      <c r="C8" s="6" t="n"/>
    </row>
    <row r="9">
      <c r="A9" s="6" t="n">
        <v>8</v>
      </c>
      <c r="B9" s="6" t="inlineStr">
        <is>
          <t>Contact type classification: client, prospect, broker, partner</t>
        </is>
      </c>
      <c r="C9" s="6" t="n"/>
    </row>
    <row r="10">
      <c r="A10" s="6" t="n">
        <v>9</v>
      </c>
      <c r="B10" s="6" t="inlineStr">
        <is>
          <t>AI enrichment using HubSpot Breeze credits (5-10K credits available)</t>
        </is>
      </c>
      <c r="C10" s="6" t="n"/>
    </row>
    <row r="11">
      <c r="A11" s="6" t="n">
        <v>10</v>
      </c>
      <c r="B11" s="6" t="inlineStr">
        <is>
          <t>Up to 8 automated workflows</t>
        </is>
      </c>
      <c r="C11" s="6" t="n"/>
    </row>
    <row r="12">
      <c r="A12" s="6" t="n">
        <v>11</v>
      </c>
      <c r="B12" s="6" t="inlineStr">
        <is>
          <t>3-4 reporting dashboards with up to 12 custom reports</t>
        </is>
      </c>
      <c r="C12" s="6" t="n"/>
    </row>
    <row r="13">
      <c r="A13" s="6" t="n">
        <v>12</v>
      </c>
      <c r="B13" s="6" t="inlineStr">
        <is>
          <t>6-8 week implementation timeline</t>
        </is>
      </c>
      <c r="C13" s="6" t="n"/>
    </row>
    <row r="14">
      <c r="A14" s="6" t="n">
        <v>13</v>
      </c>
      <c r="B14" s="6" t="inlineStr">
        <is>
          <t>All work conducted remotely unless otherwise agreed</t>
        </is>
      </c>
      <c r="C14" s="6" t="n"/>
    </row>
    <row r="15">
      <c r="A15" s="6" t="n">
        <v>14</v>
      </c>
      <c r="B15" s="6" t="inlineStr">
        <is>
          <t>Any scope changes managed through formal change request and may impact cost or timing</t>
        </is>
      </c>
      <c r="C15" s="6" t="n"/>
    </row>
    <row r="16">
      <c r="A16" s="6" t="n"/>
      <c r="B16" s="6" t="n"/>
      <c r="C16" s="6" t="n"/>
    </row>
    <row r="17">
      <c r="A17" s="6" t="inlineStr">
        <is>
          <t>Out of Scope</t>
        </is>
      </c>
      <c r="B17" s="6" t="n"/>
      <c r="C17" s="6" t="n"/>
    </row>
    <row r="18">
      <c r="A18" s="6" t="n">
        <v>1</v>
      </c>
      <c r="B18" s="6" t="inlineStr">
        <is>
          <t>CPQ / quoting / product library build (see Option B: Full CRM Overhaul)</t>
        </is>
      </c>
      <c r="C18" s="6" t="n"/>
    </row>
    <row r="19">
      <c r="A19" s="6" t="n">
        <v>2</v>
      </c>
      <c r="B19" s="6" t="inlineStr">
        <is>
          <t>Email sequencing or sales cadence automation</t>
        </is>
      </c>
      <c r="C19" s="6" t="n"/>
    </row>
    <row r="20">
      <c r="A20" s="6" t="n">
        <v>3</v>
      </c>
      <c r="B20" s="6" t="inlineStr">
        <is>
          <t>Marketing automation (newsletters, campaigns, landing pages)</t>
        </is>
      </c>
      <c r="C20" s="6" t="n"/>
    </row>
    <row r="21">
      <c r="A21" s="6" t="n">
        <v>4</v>
      </c>
      <c r="B21" s="6" t="inlineStr">
        <is>
          <t>NetSuite, Bill.com, or any ERP/financial system integration</t>
        </is>
      </c>
      <c r="C21" s="6" t="n"/>
    </row>
    <row r="22">
      <c r="A22" s="6" t="n">
        <v>5</v>
      </c>
      <c r="B22" s="6" t="inlineStr">
        <is>
          <t>Client Success pipeline or client health scoring</t>
        </is>
      </c>
      <c r="C22" s="6" t="n"/>
    </row>
    <row r="23">
      <c r="A23" s="6" t="n">
        <v>6</v>
      </c>
      <c r="B23" s="6" t="inlineStr">
        <is>
          <t>Commission tracking or calculation automation</t>
        </is>
      </c>
      <c r="C23" s="6" t="n"/>
    </row>
    <row r="24">
      <c r="A24" s="6" t="n">
        <v>7</v>
      </c>
      <c r="B24" s="6" t="inlineStr">
        <is>
          <t>Contract management or e-signature workflows</t>
        </is>
      </c>
      <c r="C24" s="6" t="n"/>
    </row>
    <row r="25">
      <c r="A25" s="6" t="n">
        <v>8</v>
      </c>
      <c r="B25" s="6" t="inlineStr">
        <is>
          <t>Custom API development or middleware (n8n/Zapier)</t>
        </is>
      </c>
      <c r="C25" s="6" t="n"/>
    </row>
    <row r="26">
      <c r="A26" s="6" t="n">
        <v>9</v>
      </c>
      <c r="B26" s="6" t="inlineStr">
        <is>
          <t>Data migration from external systems (scope covers HubSpot internal cleanup only)</t>
        </is>
      </c>
      <c r="C26" s="6" t="n"/>
    </row>
    <row r="27">
      <c r="A27" s="6" t="n">
        <v>10</v>
      </c>
      <c r="B27" s="6" t="inlineStr">
        <is>
          <t>Ongoing managed services beyond 2-week hypercare</t>
        </is>
      </c>
      <c r="C27" s="6" t="n"/>
    </row>
    <row r="28">
      <c r="A28" s="6" t="n">
        <v>11</v>
      </c>
      <c r="B28" s="6" t="inlineStr">
        <is>
          <t>HubSpot license procurement or tier changes</t>
        </is>
      </c>
      <c r="C28" s="6" t="n"/>
    </row>
    <row r="29">
      <c r="A29" s="6" t="n">
        <v>12</v>
      </c>
      <c r="B29" s="6" t="inlineStr">
        <is>
          <t>Hardware, IT infrastructure, or network changes</t>
        </is>
      </c>
      <c r="C29" s="6" t="n"/>
    </row>
    <row r="30">
      <c r="A30" s="6" t="n"/>
      <c r="B30" s="6" t="n"/>
      <c r="C30" s="6" t="n"/>
    </row>
    <row r="31">
      <c r="A31" s="6" t="inlineStr">
        <is>
          <t>Client Responsibilities</t>
        </is>
      </c>
      <c r="B31" s="6" t="n"/>
      <c r="C31" s="6" t="n"/>
    </row>
    <row r="32">
      <c r="A32" s="6" t="n">
        <v>1</v>
      </c>
      <c r="B32" s="6" t="inlineStr">
        <is>
          <t>Designate primary point of contact for decisions and approvals (Andrea recommended)</t>
        </is>
      </c>
      <c r="C32" s="6" t="n"/>
    </row>
    <row r="33">
      <c r="A33" s="6" t="n">
        <v>2</v>
      </c>
      <c r="B33" s="6" t="inlineStr">
        <is>
          <t>Ensure Jodi and Andrea availability for discovery, UAT, and training sessions</t>
        </is>
      </c>
      <c r="C33" s="6" t="n"/>
    </row>
    <row r="34">
      <c r="A34" s="6" t="n">
        <v>3</v>
      </c>
      <c r="B34" s="6" t="inlineStr">
        <is>
          <t>Provide contact classification rules and validation for AI enrichment results</t>
        </is>
      </c>
      <c r="C34" s="6" t="n"/>
    </row>
    <row r="35">
      <c r="A35" s="6" t="n">
        <v>4</v>
      </c>
      <c r="B35" s="6" t="inlineStr">
        <is>
          <t>Confirm deal stage definitions and probability framework before pipeline build</t>
        </is>
      </c>
      <c r="C35" s="6" t="n"/>
    </row>
    <row r="36">
      <c r="A36" s="6" t="n">
        <v>5</v>
      </c>
      <c r="B36" s="6" t="inlineStr">
        <is>
          <t>Communicate standardized close won/lost reason categories</t>
        </is>
      </c>
      <c r="C36" s="6" t="n"/>
    </row>
    <row r="37">
      <c r="A37" s="6" t="n">
        <v>6</v>
      </c>
      <c r="B37" s="6" t="inlineStr">
        <is>
          <t>Mandate CRM usage across sales team (executive sponsorship from Jodi)</t>
        </is>
      </c>
      <c r="C37" s="6" t="n"/>
    </row>
    <row r="38">
      <c r="A38" s="6" t="n">
        <v>7</v>
      </c>
      <c r="B38" s="6" t="inlineStr">
        <is>
          <t>Complete UAT testing within agreed timeline</t>
        </is>
      </c>
      <c r="C38" s="6" t="n"/>
    </row>
    <row r="39">
      <c r="A39" s="6" t="n">
        <v>8</v>
      </c>
      <c r="B39" s="6" t="inlineStr">
        <is>
          <t>Provide access to HubSpot admin portal</t>
        </is>
      </c>
      <c r="C39" s="6" t="n"/>
    </row>
    <row r="40">
      <c r="A40" s="6" t="n">
        <v>9</v>
      </c>
      <c r="B40" s="6" t="inlineStr">
        <is>
          <t>Share 3-5 recent quotes/proposals for quoting workflow reference</t>
        </is>
      </c>
      <c r="C40" s="6" t="n"/>
    </row>
    <row r="41">
      <c r="A41" s="6" t="n"/>
      <c r="B41" s="6" t="n"/>
      <c r="C41" s="6" t="n"/>
    </row>
    <row r="42">
      <c r="A42" s="6" t="inlineStr">
        <is>
          <t>Open Items</t>
        </is>
      </c>
      <c r="B42" s="6" t="n"/>
      <c r="C42" s="6" t="n"/>
    </row>
    <row r="43">
      <c r="A43" s="6" t="n">
        <v>1</v>
      </c>
      <c r="B43" s="6" t="inlineStr">
        <is>
          <t>Exact contact/company/deal record counts in HubSpot (pending portal access)</t>
        </is>
      </c>
      <c r="C43" s="6" t="n"/>
    </row>
    <row r="44">
      <c r="A44" s="6" t="n">
        <v>2</v>
      </c>
      <c r="B44" s="6" t="inlineStr">
        <is>
          <t>Service Hub usage details -- who uses it, preserve or deprecate?</t>
        </is>
      </c>
      <c r="C44" s="6" t="n"/>
    </row>
    <row r="45">
      <c r="A45" s="6" t="n">
        <v>3</v>
      </c>
      <c r="B45" s="6" t="inlineStr">
        <is>
          <t>COO identity and HubSpot admin access ownership (Lauren vs. Zach Beegal)</t>
        </is>
      </c>
      <c r="C45" s="6" t="n"/>
    </row>
    <row r="46">
      <c r="A46" s="6" t="n">
        <v>4</v>
      </c>
      <c r="B46" s="6" t="inlineStr">
        <is>
          <t>Outlook email logging defect root cause (config vs. platform bug)</t>
        </is>
      </c>
      <c r="C46" s="6" t="n"/>
    </row>
    <row r="47">
      <c r="A47" s="6" t="n">
        <v>5</v>
      </c>
      <c r="B47" s="6" t="inlineStr">
        <is>
          <t>Existing workflow inventory beyond broker trial form</t>
        </is>
      </c>
      <c r="C47" s="6" t="n"/>
    </row>
    <row r="48">
      <c r="A48" s="6" t="n">
        <v>6</v>
      </c>
      <c r="B48" s="6" t="inlineStr">
        <is>
          <t>Historical deal data reliability for probability calibration</t>
        </is>
      </c>
      <c r="C48" s="6" t="n"/>
    </row>
    <row r="49">
      <c r="A49" s="6" t="n">
        <v>7</v>
      </c>
      <c r="B49" s="6" t="inlineStr">
        <is>
          <t>Microsite client intake form link from Andrea</t>
        </is>
      </c>
      <c r="C49" s="6" t="n"/>
    </row>
    <row r="50">
      <c r="A50" s="6" t="n">
        <v>8</v>
      </c>
      <c r="B50" s="6" t="inlineStr">
        <is>
          <t>Jodi's Wagmo stage naming framework (if available)</t>
        </is>
      </c>
      <c r="C50" s="6" t="n"/>
    </row>
    <row r="51">
      <c r="A51" s="6" t="n">
        <v>9</v>
      </c>
      <c r="B51" s="6" t="inlineStr">
        <is>
          <t>SOW signing authority (Jodi as CEO or board approval required)</t>
        </is>
      </c>
      <c r="C5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2026-03-21T19:42:21Z</dcterms:created>
  <dcterms:modified xmlns:dcterms="http://purl.org/dc/terms/" xmlns:xsi="http://www.w3.org/2001/XMLSchema-instance" xsi:type="dcterms:W3CDTF">2026-03-21T19:42:21Z</dcterms:modified>
</cp:coreProperties>
</file>