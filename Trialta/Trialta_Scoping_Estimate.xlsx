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ta 6-Week Plan" sheetId="1" r:id="rId5"/>
  </sheets>
  <definedNames/>
  <calcPr/>
</workbook>
</file>

<file path=xl/sharedStrings.xml><?xml version="1.0" encoding="utf-8"?>
<sst xmlns="http://schemas.openxmlformats.org/spreadsheetml/2006/main" count="145" uniqueCount="105">
  <si>
    <t>Task</t>
  </si>
  <si>
    <t>Min (hrs)</t>
  </si>
  <si>
    <t>Max (hrs)</t>
  </si>
  <si>
    <t>Est. Hours</t>
  </si>
  <si>
    <t>Week</t>
  </si>
  <si>
    <t>Notes / Dependencies</t>
  </si>
  <si>
    <t>WEEK 1: Kickoff &amp; CRM Foundation</t>
  </si>
  <si>
    <t xml:space="preserve">  Internal prep (review scope, prep agenda, build data template)</t>
  </si>
  <si>
    <t>W1</t>
  </si>
  <si>
    <t xml:space="preserve">  Kickoff call with Trialta (Austin, Sam, Blake)</t>
  </si>
  <si>
    <t>Align on timeline, roles, data expectations</t>
  </si>
  <si>
    <t xml:space="preserve">  Document decisions &amp; send data import template</t>
  </si>
  <si>
    <t>Team begins filling template this week</t>
  </si>
  <si>
    <t xml:space="preserve">  Configure HubSpot environment &amp; Trialta branding</t>
  </si>
  <si>
    <t xml:space="preserve">  Build contact properties (role, PE affiliation, strength)</t>
  </si>
  <si>
    <t>Up to 20 custom properties</t>
  </si>
  <si>
    <t xml:space="preserve">  Build company properties &amp; PE firm record types</t>
  </si>
  <si>
    <t>PE firms = primary, portfolio cos = related</t>
  </si>
  <si>
    <t xml:space="preserve">  Configure contact/company associations &amp; labels</t>
  </si>
  <si>
    <t>PE firm → Portfolio company mapping</t>
  </si>
  <si>
    <t xml:space="preserve">  Week 1 Subtotal</t>
  </si>
  <si>
    <t xml:space="preserve">  ✓ Milestone: CRM structure built, data template with client</t>
  </si>
  <si>
    <t>WEEK 2: Outlook Integration &amp; Begin Data Prep</t>
  </si>
  <si>
    <t xml:space="preserve">  Create segmentation views (PE vs sell-side vs portco)</t>
  </si>
  <si>
    <t>W2</t>
  </si>
  <si>
    <t xml:space="preserve">  Set up Outlook integration for 3 users</t>
  </si>
  <si>
    <t>Austin, Sam, Blake — Office 365</t>
  </si>
  <si>
    <t xml:space="preserve">  Test email sync, meeting sync, auto-contact creation</t>
  </si>
  <si>
    <t xml:space="preserve">  Outlook training &amp; enablement (30-min session)</t>
  </si>
  <si>
    <t>Get team using CRM immediately</t>
  </si>
  <si>
    <t xml:space="preserve">  Receive &amp; audit raw data files from team</t>
  </si>
  <si>
    <t>DEPENDENCY: Team submits data by end of W2</t>
  </si>
  <si>
    <t xml:space="preserve">  Build import mapping (contacts, companies, deals)</t>
  </si>
  <si>
    <t>Map their spreadsheet columns → HubSpot properties</t>
  </si>
  <si>
    <t xml:space="preserve">  Week 2 Subtotal</t>
  </si>
  <si>
    <t xml:space="preserve">  ✓ Milestone: Outlook live, data mapping complete</t>
  </si>
  <si>
    <t>WEEK 3: Data Migration &amp; Cleanup</t>
  </si>
  <si>
    <t xml:space="preserve">  Clean &amp; deduplicate contact records</t>
  </si>
  <si>
    <t>W3</t>
  </si>
  <si>
    <t>RISK: Biggest variable. 500–1K contacts across 3 lists</t>
  </si>
  <si>
    <t xml:space="preserve">  Clean &amp; map company records</t>
  </si>
  <si>
    <t>Parallel with contact cleanup</t>
  </si>
  <si>
    <t xml:space="preserve">  Import contacts &amp; companies into HubSpot</t>
  </si>
  <si>
    <t xml:space="preserve">  Build PE firm → portfolio company associations</t>
  </si>
  <si>
    <t>Manual association work post-import</t>
  </si>
  <si>
    <t xml:space="preserve">  Import historical deal records with PE attribution</t>
  </si>
  <si>
    <t xml:space="preserve">  Assign contact/deal ownership (Austin/Sam/Blake)</t>
  </si>
  <si>
    <t xml:space="preserve">  Week 3 Subtotal</t>
  </si>
  <si>
    <t xml:space="preserve">  ✓ Milestone: All historical data imported</t>
  </si>
  <si>
    <t>WEEK 4: Data QA &amp; Deal Pipelines</t>
  </si>
  <si>
    <t xml:space="preserve">  Post-import QA &amp; validation</t>
  </si>
  <si>
    <t>W4</t>
  </si>
  <si>
    <t>Spot-check associations, dedup review</t>
  </si>
  <si>
    <t xml:space="preserve">  Team review &amp; sign-off on imported data</t>
  </si>
  <si>
    <t>Trialta confirms data accuracy — async or 30-min call</t>
  </si>
  <si>
    <t xml:space="preserve">  Configure buy-side pipeline &amp; stages</t>
  </si>
  <si>
    <t>Lead → Qualified → Proposal → Engaged → Completed</t>
  </si>
  <si>
    <t xml:space="preserve">  Configure sell-side pipeline &amp; stages</t>
  </si>
  <si>
    <t xml:space="preserve">  Build deal properties (engagement type, characteristics)</t>
  </si>
  <si>
    <t>Up to 25 custom deal properties</t>
  </si>
  <si>
    <t xml:space="preserve">  Configure deal associations (PE firm, portco, contacts)</t>
  </si>
  <si>
    <t xml:space="preserve">  Set up association labels &amp; test with sample deals</t>
  </si>
  <si>
    <t xml:space="preserve">  Pipeline walkthrough with team (30 min)</t>
  </si>
  <si>
    <t>Quick demo, answer questions</t>
  </si>
  <si>
    <t xml:space="preserve">  Week 4 Subtotal</t>
  </si>
  <si>
    <t xml:space="preserve">  ✓ Milestone: Data validated, pipelines live &amp; trained</t>
  </si>
  <si>
    <t>WEEK 5: Health Tracking &amp; Reporting</t>
  </si>
  <si>
    <t xml:space="preserve">  Build PE firm health properties (last engagement, last contact)</t>
  </si>
  <si>
    <t>W5</t>
  </si>
  <si>
    <t xml:space="preserve">  Configure "Days Since Last Engagement" calculated property</t>
  </si>
  <si>
    <t xml:space="preserve">  Build PE firm views (active / warm / cold / dormant)</t>
  </si>
  <si>
    <t xml:space="preserve">  Set up 90-day automated task creation</t>
  </si>
  <si>
    <t>Auto-assign to PE firm relationship owner</t>
  </si>
  <si>
    <t xml:space="preserve">  Build saved filters for at-risk partnerships</t>
  </si>
  <si>
    <t xml:space="preserve">  Build primary sales dashboard (~8 reports)</t>
  </si>
  <si>
    <t>Pipeline velocity, PE sponsor value, engagement metrics</t>
  </si>
  <si>
    <t xml:space="preserve">  Build PE firm engagement health dashboard</t>
  </si>
  <si>
    <t xml:space="preserve">  Configure deal conversion &amp; pipeline reports</t>
  </si>
  <si>
    <t xml:space="preserve">  Week 5 Subtotal</t>
  </si>
  <si>
    <t xml:space="preserve">  ✓ Milestone: Health tracking &amp; dashboards live</t>
  </si>
  <si>
    <t>WEEK 6: QA, Enablement &amp; Handoff</t>
  </si>
  <si>
    <t xml:space="preserve">  End-to-end UAT walkthrough</t>
  </si>
  <si>
    <t>W6</t>
  </si>
  <si>
    <t>Test all workflows with real scenarios</t>
  </si>
  <si>
    <t xml:space="preserve">  Fix/adjust based on UAT feedback</t>
  </si>
  <si>
    <t>Buffer for revisions &amp; edge cases</t>
  </si>
  <si>
    <t xml:space="preserve">  Team enablement session (full system walkthrough)</t>
  </si>
  <si>
    <t>60–90 min live session — record it</t>
  </si>
  <si>
    <t xml:space="preserve">  Create quick-reference documentation</t>
  </si>
  <si>
    <t>Daily CRM usage guide, key workflows</t>
  </si>
  <si>
    <t xml:space="preserve">  Formal handoff &amp; begin 1-week async support</t>
  </si>
  <si>
    <t>Slack/email support through W7</t>
  </si>
  <si>
    <t xml:space="preserve">  Week 6 Subtotal</t>
  </si>
  <si>
    <t xml:space="preserve">  ✓ Milestone: Project complete, team self-sufficient</t>
  </si>
  <si>
    <t>GRAND TOTAL</t>
  </si>
  <si>
    <t>6 wks</t>
  </si>
  <si>
    <t>Est. Hours = median of min/max per task</t>
  </si>
  <si>
    <t>Weekly Hours Summary</t>
  </si>
  <si>
    <t>Week 1: Kickoff &amp; CRM Foundation</t>
  </si>
  <si>
    <t>Week 2: Outlook &amp; Data Prep</t>
  </si>
  <si>
    <t>Week 3: Data Migration</t>
  </si>
  <si>
    <t>Week 4: Data QA &amp; Pipelines</t>
  </si>
  <si>
    <t>Week 5: Health Tracking &amp; Reporting</t>
  </si>
  <si>
    <t>Week 6: QA &amp; Handoff</t>
  </si>
  <si>
    <t>Avg Hours /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</si>
</sst>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b/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ont="1">
      <alignment horizontal="center" shrinkToFit="0" vertical="bottom" wrapText="0"/>
    </xf>
    <xf borderId="1" fillId="6" fontId="2" numFmtId="0" xfId="0" applyAlignment="1" applyBorder="1" applyFill="1" applyFont="1">
      <alignment shrinkToFit="0" vertical="bottom" wrapText="1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0.0"/>
    <col customWidth="1" min="2" max="3" width="11.0"/>
    <col customWidth="1" min="4" max="4" width="13.0"/>
    <col customWidth="1" min="5" max="5" width="10.0"/>
    <col customWidth="1" min="6" max="6" width="5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/>
      <c r="D2" s="2"/>
      <c r="E2" s="2"/>
      <c r="F2" s="2"/>
    </row>
    <row r="3">
      <c r="A3" s="3" t="s">
        <v>7</v>
      </c>
      <c r="B3" s="4">
        <v>1.0</v>
      </c>
      <c r="C3" s="4">
        <v>2.0</v>
      </c>
      <c r="D3" s="5">
        <f t="shared" ref="D3:D9" si="1">(B3+C3)/2</f>
        <v>1.5</v>
      </c>
      <c r="E3" s="4" t="s">
        <v>8</v>
      </c>
      <c r="F3" s="6"/>
    </row>
    <row r="4">
      <c r="A4" s="3" t="s">
        <v>9</v>
      </c>
      <c r="B4" s="4">
        <v>0.75</v>
      </c>
      <c r="C4" s="4">
        <v>1.5</v>
      </c>
      <c r="D4" s="5">
        <f t="shared" si="1"/>
        <v>1.125</v>
      </c>
      <c r="E4" s="4" t="s">
        <v>8</v>
      </c>
      <c r="F4" s="6" t="s">
        <v>10</v>
      </c>
    </row>
    <row r="5">
      <c r="A5" s="3" t="s">
        <v>11</v>
      </c>
      <c r="B5" s="4">
        <v>0.5</v>
      </c>
      <c r="C5" s="4">
        <v>1.0</v>
      </c>
      <c r="D5" s="5">
        <f t="shared" si="1"/>
        <v>0.75</v>
      </c>
      <c r="E5" s="4" t="s">
        <v>8</v>
      </c>
      <c r="F5" s="6" t="s">
        <v>12</v>
      </c>
    </row>
    <row r="6">
      <c r="A6" s="3" t="s">
        <v>13</v>
      </c>
      <c r="B6" s="4">
        <v>0.5</v>
      </c>
      <c r="C6" s="4">
        <v>1.5</v>
      </c>
      <c r="D6" s="5">
        <f t="shared" si="1"/>
        <v>1</v>
      </c>
      <c r="E6" s="4" t="s">
        <v>8</v>
      </c>
      <c r="F6" s="6"/>
    </row>
    <row r="7">
      <c r="A7" s="3" t="s">
        <v>14</v>
      </c>
      <c r="B7" s="4">
        <v>1.0</v>
      </c>
      <c r="C7" s="4">
        <v>2.0</v>
      </c>
      <c r="D7" s="5">
        <f t="shared" si="1"/>
        <v>1.5</v>
      </c>
      <c r="E7" s="4" t="s">
        <v>8</v>
      </c>
      <c r="F7" s="6" t="s">
        <v>15</v>
      </c>
    </row>
    <row r="8">
      <c r="A8" s="3" t="s">
        <v>16</v>
      </c>
      <c r="B8" s="4">
        <v>1.0</v>
      </c>
      <c r="C8" s="4">
        <v>2.0</v>
      </c>
      <c r="D8" s="5">
        <f t="shared" si="1"/>
        <v>1.5</v>
      </c>
      <c r="E8" s="4" t="s">
        <v>8</v>
      </c>
      <c r="F8" s="6" t="s">
        <v>17</v>
      </c>
    </row>
    <row r="9">
      <c r="A9" s="3" t="s">
        <v>18</v>
      </c>
      <c r="B9" s="4">
        <v>1.0</v>
      </c>
      <c r="C9" s="4">
        <v>2.0</v>
      </c>
      <c r="D9" s="5">
        <f t="shared" si="1"/>
        <v>1.5</v>
      </c>
      <c r="E9" s="4" t="s">
        <v>8</v>
      </c>
      <c r="F9" s="6" t="s">
        <v>19</v>
      </c>
    </row>
    <row r="10">
      <c r="A10" s="7" t="s">
        <v>20</v>
      </c>
      <c r="B10" s="8">
        <f t="shared" ref="B10:D10" si="2">SUM(B3:B9)</f>
        <v>5.75</v>
      </c>
      <c r="C10" s="8">
        <f t="shared" si="2"/>
        <v>12</v>
      </c>
      <c r="D10" s="8">
        <f t="shared" si="2"/>
        <v>8.875</v>
      </c>
      <c r="E10" s="8"/>
      <c r="F10" s="7"/>
    </row>
    <row r="11">
      <c r="A11" s="9" t="s">
        <v>21</v>
      </c>
      <c r="B11" s="9"/>
      <c r="C11" s="9"/>
      <c r="D11" s="9"/>
      <c r="E11" s="10" t="s">
        <v>8</v>
      </c>
      <c r="F11" s="9"/>
    </row>
    <row r="12">
      <c r="A12" s="2" t="s">
        <v>22</v>
      </c>
      <c r="B12" s="2"/>
      <c r="C12" s="2"/>
      <c r="D12" s="2"/>
      <c r="E12" s="2"/>
      <c r="F12" s="2"/>
    </row>
    <row r="13">
      <c r="A13" s="3" t="s">
        <v>23</v>
      </c>
      <c r="B13" s="4">
        <v>0.5</v>
      </c>
      <c r="C13" s="4">
        <v>1.5</v>
      </c>
      <c r="D13" s="5">
        <f t="shared" ref="D13:D18" si="3">(B13+C13)/2</f>
        <v>1</v>
      </c>
      <c r="E13" s="4" t="s">
        <v>24</v>
      </c>
      <c r="F13" s="6"/>
    </row>
    <row r="14">
      <c r="A14" s="3" t="s">
        <v>25</v>
      </c>
      <c r="B14" s="4">
        <v>1.0</v>
      </c>
      <c r="C14" s="4">
        <v>2.0</v>
      </c>
      <c r="D14" s="5">
        <f t="shared" si="3"/>
        <v>1.5</v>
      </c>
      <c r="E14" s="4" t="s">
        <v>24</v>
      </c>
      <c r="F14" s="6" t="s">
        <v>26</v>
      </c>
    </row>
    <row r="15">
      <c r="A15" s="3" t="s">
        <v>27</v>
      </c>
      <c r="B15" s="4">
        <v>0.5</v>
      </c>
      <c r="C15" s="4">
        <v>1.5</v>
      </c>
      <c r="D15" s="5">
        <f t="shared" si="3"/>
        <v>1</v>
      </c>
      <c r="E15" s="4" t="s">
        <v>24</v>
      </c>
      <c r="F15" s="6"/>
    </row>
    <row r="16">
      <c r="A16" s="3" t="s">
        <v>28</v>
      </c>
      <c r="B16" s="4">
        <v>0.5</v>
      </c>
      <c r="C16" s="4">
        <v>1.0</v>
      </c>
      <c r="D16" s="5">
        <f t="shared" si="3"/>
        <v>0.75</v>
      </c>
      <c r="E16" s="4" t="s">
        <v>24</v>
      </c>
      <c r="F16" s="6" t="s">
        <v>29</v>
      </c>
    </row>
    <row r="17">
      <c r="A17" s="3" t="s">
        <v>30</v>
      </c>
      <c r="B17" s="4">
        <v>0.5</v>
      </c>
      <c r="C17" s="4">
        <v>1.5</v>
      </c>
      <c r="D17" s="5">
        <f t="shared" si="3"/>
        <v>1</v>
      </c>
      <c r="E17" s="4" t="s">
        <v>24</v>
      </c>
      <c r="F17" s="11" t="s">
        <v>31</v>
      </c>
    </row>
    <row r="18">
      <c r="A18" s="3" t="s">
        <v>32</v>
      </c>
      <c r="B18" s="4">
        <v>1.5</v>
      </c>
      <c r="C18" s="4">
        <v>3.0</v>
      </c>
      <c r="D18" s="5">
        <f t="shared" si="3"/>
        <v>2.25</v>
      </c>
      <c r="E18" s="4" t="s">
        <v>24</v>
      </c>
      <c r="F18" s="6" t="s">
        <v>33</v>
      </c>
    </row>
    <row r="19">
      <c r="A19" s="7" t="s">
        <v>34</v>
      </c>
      <c r="B19" s="8">
        <f t="shared" ref="B19:D19" si="4">SUM(B13:B18)</f>
        <v>4.5</v>
      </c>
      <c r="C19" s="8">
        <f t="shared" si="4"/>
        <v>10.5</v>
      </c>
      <c r="D19" s="8">
        <f t="shared" si="4"/>
        <v>7.5</v>
      </c>
      <c r="E19" s="8"/>
      <c r="F19" s="7"/>
    </row>
    <row r="20">
      <c r="A20" s="9" t="s">
        <v>35</v>
      </c>
      <c r="B20" s="9"/>
      <c r="C20" s="9"/>
      <c r="D20" s="9"/>
      <c r="E20" s="10" t="s">
        <v>24</v>
      </c>
      <c r="F20" s="9"/>
    </row>
    <row r="21">
      <c r="A21" s="2" t="s">
        <v>36</v>
      </c>
      <c r="B21" s="2"/>
      <c r="C21" s="2"/>
      <c r="D21" s="2"/>
      <c r="E21" s="2"/>
      <c r="F21" s="2"/>
    </row>
    <row r="22">
      <c r="A22" s="3" t="s">
        <v>37</v>
      </c>
      <c r="B22" s="4">
        <v>3.0</v>
      </c>
      <c r="C22" s="4">
        <v>6.0</v>
      </c>
      <c r="D22" s="5">
        <f t="shared" ref="D22:D27" si="5">(B22+C22)/2</f>
        <v>4.5</v>
      </c>
      <c r="E22" s="4" t="s">
        <v>38</v>
      </c>
      <c r="F22" s="11" t="s">
        <v>39</v>
      </c>
    </row>
    <row r="23">
      <c r="A23" s="3" t="s">
        <v>40</v>
      </c>
      <c r="B23" s="4">
        <v>1.5</v>
      </c>
      <c r="C23" s="4">
        <v>3.0</v>
      </c>
      <c r="D23" s="5">
        <f t="shared" si="5"/>
        <v>2.25</v>
      </c>
      <c r="E23" s="4" t="s">
        <v>38</v>
      </c>
      <c r="F23" s="6" t="s">
        <v>41</v>
      </c>
    </row>
    <row r="24">
      <c r="A24" s="3" t="s">
        <v>42</v>
      </c>
      <c r="B24" s="4">
        <v>1.5</v>
      </c>
      <c r="C24" s="4">
        <v>3.0</v>
      </c>
      <c r="D24" s="5">
        <f t="shared" si="5"/>
        <v>2.25</v>
      </c>
      <c r="E24" s="4" t="s">
        <v>38</v>
      </c>
      <c r="F24" s="6"/>
    </row>
    <row r="25">
      <c r="A25" s="3" t="s">
        <v>43</v>
      </c>
      <c r="B25" s="4">
        <v>1.5</v>
      </c>
      <c r="C25" s="4">
        <v>3.0</v>
      </c>
      <c r="D25" s="5">
        <f t="shared" si="5"/>
        <v>2.25</v>
      </c>
      <c r="E25" s="4" t="s">
        <v>38</v>
      </c>
      <c r="F25" s="6" t="s">
        <v>44</v>
      </c>
    </row>
    <row r="26">
      <c r="A26" s="3" t="s">
        <v>45</v>
      </c>
      <c r="B26" s="4">
        <v>2.0</v>
      </c>
      <c r="C26" s="4">
        <v>4.0</v>
      </c>
      <c r="D26" s="5">
        <f t="shared" si="5"/>
        <v>3</v>
      </c>
      <c r="E26" s="4" t="s">
        <v>38</v>
      </c>
      <c r="F26" s="6"/>
    </row>
    <row r="27">
      <c r="A27" s="3" t="s">
        <v>46</v>
      </c>
      <c r="B27" s="4">
        <v>0.5</v>
      </c>
      <c r="C27" s="4">
        <v>1.5</v>
      </c>
      <c r="D27" s="5">
        <f t="shared" si="5"/>
        <v>1</v>
      </c>
      <c r="E27" s="4" t="s">
        <v>38</v>
      </c>
      <c r="F27" s="6"/>
    </row>
    <row r="28">
      <c r="A28" s="7" t="s">
        <v>47</v>
      </c>
      <c r="B28" s="8">
        <f t="shared" ref="B28:D28" si="6">SUM(B22:B27)</f>
        <v>10</v>
      </c>
      <c r="C28" s="8">
        <f t="shared" si="6"/>
        <v>20.5</v>
      </c>
      <c r="D28" s="8">
        <f t="shared" si="6"/>
        <v>15.25</v>
      </c>
      <c r="E28" s="8"/>
      <c r="F28" s="7"/>
    </row>
    <row r="29">
      <c r="A29" s="9" t="s">
        <v>48</v>
      </c>
      <c r="B29" s="9"/>
      <c r="C29" s="9"/>
      <c r="D29" s="9"/>
      <c r="E29" s="10" t="s">
        <v>38</v>
      </c>
      <c r="F29" s="9"/>
    </row>
    <row r="30">
      <c r="A30" s="2" t="s">
        <v>49</v>
      </c>
      <c r="B30" s="2"/>
      <c r="C30" s="2"/>
      <c r="D30" s="2"/>
      <c r="E30" s="2"/>
      <c r="F30" s="2"/>
    </row>
    <row r="31">
      <c r="A31" s="3" t="s">
        <v>50</v>
      </c>
      <c r="B31" s="4">
        <v>1.5</v>
      </c>
      <c r="C31" s="4">
        <v>3.0</v>
      </c>
      <c r="D31" s="5">
        <f t="shared" ref="D31:D38" si="7">(B31+C31)/2</f>
        <v>2.25</v>
      </c>
      <c r="E31" s="4" t="s">
        <v>51</v>
      </c>
      <c r="F31" s="6" t="s">
        <v>52</v>
      </c>
    </row>
    <row r="32">
      <c r="A32" s="3" t="s">
        <v>53</v>
      </c>
      <c r="B32" s="4">
        <v>0.5</v>
      </c>
      <c r="C32" s="4">
        <v>1.0</v>
      </c>
      <c r="D32" s="5">
        <f t="shared" si="7"/>
        <v>0.75</v>
      </c>
      <c r="E32" s="4" t="s">
        <v>51</v>
      </c>
      <c r="F32" s="6" t="s">
        <v>54</v>
      </c>
    </row>
    <row r="33">
      <c r="A33" s="3" t="s">
        <v>55</v>
      </c>
      <c r="B33" s="4">
        <v>1.0</v>
      </c>
      <c r="C33" s="4">
        <v>2.0</v>
      </c>
      <c r="D33" s="5">
        <f t="shared" si="7"/>
        <v>1.5</v>
      </c>
      <c r="E33" s="4" t="s">
        <v>51</v>
      </c>
      <c r="F33" s="6" t="s">
        <v>56</v>
      </c>
    </row>
    <row r="34">
      <c r="A34" s="3" t="s">
        <v>57</v>
      </c>
      <c r="B34" s="4">
        <v>1.0</v>
      </c>
      <c r="C34" s="4">
        <v>2.0</v>
      </c>
      <c r="D34" s="5">
        <f t="shared" si="7"/>
        <v>1.5</v>
      </c>
      <c r="E34" s="4" t="s">
        <v>51</v>
      </c>
      <c r="F34" s="6"/>
    </row>
    <row r="35">
      <c r="A35" s="3" t="s">
        <v>58</v>
      </c>
      <c r="B35" s="4">
        <v>1.5</v>
      </c>
      <c r="C35" s="4">
        <v>3.0</v>
      </c>
      <c r="D35" s="5">
        <f t="shared" si="7"/>
        <v>2.25</v>
      </c>
      <c r="E35" s="4" t="s">
        <v>51</v>
      </c>
      <c r="F35" s="6" t="s">
        <v>59</v>
      </c>
    </row>
    <row r="36">
      <c r="A36" s="3" t="s">
        <v>60</v>
      </c>
      <c r="B36" s="4">
        <v>1.5</v>
      </c>
      <c r="C36" s="4">
        <v>3.0</v>
      </c>
      <c r="D36" s="5">
        <f t="shared" si="7"/>
        <v>2.25</v>
      </c>
      <c r="E36" s="4" t="s">
        <v>51</v>
      </c>
      <c r="F36" s="6"/>
    </row>
    <row r="37">
      <c r="A37" s="3" t="s">
        <v>61</v>
      </c>
      <c r="B37" s="4">
        <v>0.5</v>
      </c>
      <c r="C37" s="4">
        <v>1.5</v>
      </c>
      <c r="D37" s="5">
        <f t="shared" si="7"/>
        <v>1</v>
      </c>
      <c r="E37" s="4" t="s">
        <v>51</v>
      </c>
      <c r="F37" s="6"/>
    </row>
    <row r="38">
      <c r="A38" s="3" t="s">
        <v>62</v>
      </c>
      <c r="B38" s="4">
        <v>0.5</v>
      </c>
      <c r="C38" s="4">
        <v>1.0</v>
      </c>
      <c r="D38" s="5">
        <f t="shared" si="7"/>
        <v>0.75</v>
      </c>
      <c r="E38" s="4" t="s">
        <v>51</v>
      </c>
      <c r="F38" s="6" t="s">
        <v>63</v>
      </c>
    </row>
    <row r="39">
      <c r="A39" s="7" t="s">
        <v>64</v>
      </c>
      <c r="B39" s="8">
        <f t="shared" ref="B39:D39" si="8">SUM(B31:B38)</f>
        <v>8</v>
      </c>
      <c r="C39" s="8">
        <f t="shared" si="8"/>
        <v>16.5</v>
      </c>
      <c r="D39" s="8">
        <f t="shared" si="8"/>
        <v>12.25</v>
      </c>
      <c r="E39" s="8"/>
      <c r="F39" s="7"/>
    </row>
    <row r="40">
      <c r="A40" s="9" t="s">
        <v>65</v>
      </c>
      <c r="B40" s="9"/>
      <c r="C40" s="9"/>
      <c r="D40" s="9"/>
      <c r="E40" s="10" t="s">
        <v>51</v>
      </c>
      <c r="F40" s="9"/>
    </row>
    <row r="41">
      <c r="A41" s="2" t="s">
        <v>66</v>
      </c>
      <c r="B41" s="2"/>
      <c r="C41" s="2"/>
      <c r="D41" s="2"/>
      <c r="E41" s="2"/>
      <c r="F41" s="2"/>
    </row>
    <row r="42">
      <c r="A42" s="3" t="s">
        <v>67</v>
      </c>
      <c r="B42" s="4">
        <v>1.5</v>
      </c>
      <c r="C42" s="4">
        <v>3.0</v>
      </c>
      <c r="D42" s="5">
        <f t="shared" ref="D42:D49" si="9">(B42+C42)/2</f>
        <v>2.25</v>
      </c>
      <c r="E42" s="4" t="s">
        <v>68</v>
      </c>
      <c r="F42" s="6"/>
    </row>
    <row r="43">
      <c r="A43" s="3" t="s">
        <v>69</v>
      </c>
      <c r="B43" s="4">
        <v>1.5</v>
      </c>
      <c r="C43" s="4">
        <v>3.0</v>
      </c>
      <c r="D43" s="5">
        <f t="shared" si="9"/>
        <v>2.25</v>
      </c>
      <c r="E43" s="4" t="s">
        <v>68</v>
      </c>
      <c r="F43" s="6"/>
    </row>
    <row r="44">
      <c r="A44" s="3" t="s">
        <v>70</v>
      </c>
      <c r="B44" s="4">
        <v>1.0</v>
      </c>
      <c r="C44" s="4">
        <v>2.0</v>
      </c>
      <c r="D44" s="5">
        <f t="shared" si="9"/>
        <v>1.5</v>
      </c>
      <c r="E44" s="4" t="s">
        <v>68</v>
      </c>
      <c r="F44" s="6"/>
    </row>
    <row r="45">
      <c r="A45" s="3" t="s">
        <v>71</v>
      </c>
      <c r="B45" s="4">
        <v>1.5</v>
      </c>
      <c r="C45" s="4">
        <v>3.0</v>
      </c>
      <c r="D45" s="5">
        <f t="shared" si="9"/>
        <v>2.25</v>
      </c>
      <c r="E45" s="4" t="s">
        <v>68</v>
      </c>
      <c r="F45" s="6" t="s">
        <v>72</v>
      </c>
    </row>
    <row r="46">
      <c r="A46" s="3" t="s">
        <v>73</v>
      </c>
      <c r="B46" s="4">
        <v>0.5</v>
      </c>
      <c r="C46" s="4">
        <v>1.5</v>
      </c>
      <c r="D46" s="5">
        <f t="shared" si="9"/>
        <v>1</v>
      </c>
      <c r="E46" s="4" t="s">
        <v>68</v>
      </c>
      <c r="F46" s="6"/>
    </row>
    <row r="47">
      <c r="A47" s="3" t="s">
        <v>74</v>
      </c>
      <c r="B47" s="4">
        <v>3.0</v>
      </c>
      <c r="C47" s="4">
        <v>5.0</v>
      </c>
      <c r="D47" s="5">
        <f t="shared" si="9"/>
        <v>4</v>
      </c>
      <c r="E47" s="4" t="s">
        <v>68</v>
      </c>
      <c r="F47" s="6" t="s">
        <v>75</v>
      </c>
    </row>
    <row r="48">
      <c r="A48" s="3" t="s">
        <v>76</v>
      </c>
      <c r="B48" s="4">
        <v>1.5</v>
      </c>
      <c r="C48" s="4">
        <v>3.0</v>
      </c>
      <c r="D48" s="5">
        <f t="shared" si="9"/>
        <v>2.25</v>
      </c>
      <c r="E48" s="4" t="s">
        <v>68</v>
      </c>
      <c r="F48" s="6"/>
    </row>
    <row r="49">
      <c r="A49" s="3" t="s">
        <v>77</v>
      </c>
      <c r="B49" s="4">
        <v>1.0</v>
      </c>
      <c r="C49" s="4">
        <v>2.0</v>
      </c>
      <c r="D49" s="5">
        <f t="shared" si="9"/>
        <v>1.5</v>
      </c>
      <c r="E49" s="4" t="s">
        <v>68</v>
      </c>
      <c r="F49" s="6"/>
    </row>
    <row r="50">
      <c r="A50" s="7" t="s">
        <v>78</v>
      </c>
      <c r="B50" s="8">
        <f t="shared" ref="B50:D50" si="10">SUM(B42:B49)</f>
        <v>11.5</v>
      </c>
      <c r="C50" s="8">
        <f t="shared" si="10"/>
        <v>22.5</v>
      </c>
      <c r="D50" s="8">
        <f t="shared" si="10"/>
        <v>17</v>
      </c>
      <c r="E50" s="8"/>
      <c r="F50" s="7"/>
    </row>
    <row r="51">
      <c r="A51" s="9" t="s">
        <v>79</v>
      </c>
      <c r="B51" s="9"/>
      <c r="C51" s="9"/>
      <c r="D51" s="9"/>
      <c r="E51" s="10" t="s">
        <v>68</v>
      </c>
      <c r="F51" s="9"/>
    </row>
    <row r="52">
      <c r="A52" s="2" t="s">
        <v>80</v>
      </c>
      <c r="B52" s="2"/>
      <c r="C52" s="2"/>
      <c r="D52" s="2"/>
      <c r="E52" s="2"/>
      <c r="F52" s="2"/>
    </row>
    <row r="53">
      <c r="A53" s="3" t="s">
        <v>81</v>
      </c>
      <c r="B53" s="4">
        <v>1.5</v>
      </c>
      <c r="C53" s="4">
        <v>3.0</v>
      </c>
      <c r="D53" s="5">
        <f t="shared" ref="D53:D57" si="11">(B53+C53)/2</f>
        <v>2.25</v>
      </c>
      <c r="E53" s="4" t="s">
        <v>82</v>
      </c>
      <c r="F53" s="6" t="s">
        <v>83</v>
      </c>
    </row>
    <row r="54">
      <c r="A54" s="3" t="s">
        <v>84</v>
      </c>
      <c r="B54" s="4">
        <v>1.5</v>
      </c>
      <c r="C54" s="4">
        <v>3.0</v>
      </c>
      <c r="D54" s="5">
        <f t="shared" si="11"/>
        <v>2.25</v>
      </c>
      <c r="E54" s="4" t="s">
        <v>82</v>
      </c>
      <c r="F54" s="6" t="s">
        <v>85</v>
      </c>
    </row>
    <row r="55">
      <c r="A55" s="3" t="s">
        <v>86</v>
      </c>
      <c r="B55" s="4">
        <v>1.0</v>
      </c>
      <c r="C55" s="4">
        <v>2.0</v>
      </c>
      <c r="D55" s="5">
        <f t="shared" si="11"/>
        <v>1.5</v>
      </c>
      <c r="E55" s="4" t="s">
        <v>82</v>
      </c>
      <c r="F55" s="6" t="s">
        <v>87</v>
      </c>
    </row>
    <row r="56">
      <c r="A56" s="3" t="s">
        <v>88</v>
      </c>
      <c r="B56" s="4">
        <v>1.0</v>
      </c>
      <c r="C56" s="4">
        <v>2.0</v>
      </c>
      <c r="D56" s="5">
        <f t="shared" si="11"/>
        <v>1.5</v>
      </c>
      <c r="E56" s="4" t="s">
        <v>82</v>
      </c>
      <c r="F56" s="6" t="s">
        <v>89</v>
      </c>
    </row>
    <row r="57">
      <c r="A57" s="3" t="s">
        <v>90</v>
      </c>
      <c r="B57" s="4">
        <v>0.5</v>
      </c>
      <c r="C57" s="4">
        <v>1.5</v>
      </c>
      <c r="D57" s="5">
        <f t="shared" si="11"/>
        <v>1</v>
      </c>
      <c r="E57" s="4" t="s">
        <v>82</v>
      </c>
      <c r="F57" s="6" t="s">
        <v>91</v>
      </c>
    </row>
    <row r="58">
      <c r="A58" s="7" t="s">
        <v>92</v>
      </c>
      <c r="B58" s="8">
        <f t="shared" ref="B58:D58" si="12">SUM(B53:B57)</f>
        <v>5.5</v>
      </c>
      <c r="C58" s="8">
        <f t="shared" si="12"/>
        <v>11.5</v>
      </c>
      <c r="D58" s="8">
        <f t="shared" si="12"/>
        <v>8.5</v>
      </c>
      <c r="E58" s="8"/>
      <c r="F58" s="7"/>
    </row>
    <row r="59">
      <c r="A59" s="9" t="s">
        <v>93</v>
      </c>
      <c r="B59" s="9"/>
      <c r="C59" s="9"/>
      <c r="D59" s="9"/>
      <c r="E59" s="10" t="s">
        <v>82</v>
      </c>
      <c r="F59" s="9"/>
    </row>
    <row r="60">
      <c r="A60" s="12" t="s">
        <v>94</v>
      </c>
      <c r="B60" s="13">
        <f t="shared" ref="B60:D60" si="13">B10+B19+B28+B39+B50+B58</f>
        <v>45.25</v>
      </c>
      <c r="C60" s="13">
        <f t="shared" si="13"/>
        <v>93.5</v>
      </c>
      <c r="D60" s="13">
        <f t="shared" si="13"/>
        <v>69.375</v>
      </c>
      <c r="E60" s="13" t="s">
        <v>95</v>
      </c>
      <c r="F60" s="12" t="s">
        <v>96</v>
      </c>
    </row>
    <row r="61"/>
    <row r="62">
      <c r="A62" s="14" t="s">
        <v>97</v>
      </c>
    </row>
    <row r="63">
      <c r="A63" s="3" t="s">
        <v>98</v>
      </c>
      <c r="B63" s="4">
        <f t="shared" ref="B63:D63" si="14">B10</f>
        <v>5.75</v>
      </c>
      <c r="C63" s="4">
        <f t="shared" si="14"/>
        <v>12</v>
      </c>
      <c r="D63" s="5">
        <f t="shared" si="14"/>
        <v>8.875</v>
      </c>
    </row>
    <row r="64">
      <c r="A64" s="3" t="s">
        <v>99</v>
      </c>
      <c r="B64" s="4">
        <f t="shared" ref="B64:D64" si="15">B19</f>
        <v>4.5</v>
      </c>
      <c r="C64" s="4">
        <f t="shared" si="15"/>
        <v>10.5</v>
      </c>
      <c r="D64" s="5">
        <f t="shared" si="15"/>
        <v>7.5</v>
      </c>
    </row>
    <row r="65">
      <c r="A65" s="3" t="s">
        <v>100</v>
      </c>
      <c r="B65" s="4">
        <f t="shared" ref="B65:D65" si="16">B28</f>
        <v>10</v>
      </c>
      <c r="C65" s="4">
        <f t="shared" si="16"/>
        <v>20.5</v>
      </c>
      <c r="D65" s="5">
        <f t="shared" si="16"/>
        <v>15.25</v>
      </c>
    </row>
    <row r="66">
      <c r="A66" s="3" t="s">
        <v>101</v>
      </c>
      <c r="B66" s="4">
        <f t="shared" ref="B66:D66" si="17">B39</f>
        <v>8</v>
      </c>
      <c r="C66" s="4">
        <f t="shared" si="17"/>
        <v>16.5</v>
      </c>
      <c r="D66" s="5">
        <f t="shared" si="17"/>
        <v>12.25</v>
      </c>
    </row>
    <row r="67">
      <c r="A67" s="3" t="s">
        <v>102</v>
      </c>
      <c r="B67" s="4">
        <f t="shared" ref="B67:D67" si="18">B50</f>
        <v>11.5</v>
      </c>
      <c r="C67" s="4">
        <f t="shared" si="18"/>
        <v>22.5</v>
      </c>
      <c r="D67" s="5">
        <f t="shared" si="18"/>
        <v>17</v>
      </c>
    </row>
    <row r="68">
      <c r="A68" s="3" t="s">
        <v>103</v>
      </c>
      <c r="B68" s="4">
        <f t="shared" ref="B68:D68" si="19">B58</f>
        <v>5.5</v>
      </c>
      <c r="C68" s="4">
        <f t="shared" si="19"/>
        <v>11.5</v>
      </c>
      <c r="D68" s="5">
        <f t="shared" si="19"/>
        <v>8.5</v>
      </c>
    </row>
    <row r="69">
      <c r="A69" s="7" t="s">
        <v>104</v>
      </c>
      <c r="B69" s="8">
        <f t="shared" ref="B69:D69" si="20">(B10+B19+B28+B39+B50+B58)/6</f>
        <v>7.541666667</v>
      </c>
      <c r="C69" s="8">
        <f t="shared" si="20"/>
        <v>15.58333333</v>
      </c>
      <c r="D69" s="8">
        <f t="shared" si="20"/>
        <v>11.5625</v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