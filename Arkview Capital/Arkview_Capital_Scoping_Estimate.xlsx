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ping Estimate" sheetId="1" state="visible" r:id="rId1"/>
    <sheet xmlns:r="http://schemas.openxmlformats.org/officeDocument/2006/relationships" name="Risk Register" sheetId="2" state="visible" r:id="rId2"/>
    <sheet xmlns:r="http://schemas.openxmlformats.org/officeDocument/2006/relationships" name="Assumptions &amp; Exclusions" sheetId="3" state="visible" r:id="rId3"/>
    <sheet xmlns:r="http://schemas.openxmlformats.org/officeDocument/2006/relationships" name="Approach 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b val="1"/>
      <sz val="12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D6E4F0"/>
        <bgColor rgb="00D6E4F0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BDD7EE"/>
        <bgColor rgb="00BDD7EE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164" fontId="3" fillId="3" borderId="1" applyAlignment="1" pivotButton="0" quotePrefix="0" xfId="0">
      <alignment vertical="top" wrapText="1"/>
    </xf>
    <xf numFmtId="0" fontId="4" fillId="4" borderId="1" pivotButton="0" quotePrefix="0" xfId="0"/>
    <xf numFmtId="164" fontId="4" fillId="4" borderId="1" pivotButton="0" quotePrefix="0" xfId="0"/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4" fillId="8" borderId="0" pivotButton="0" quotePrefix="0" xfId="0"/>
    <xf numFmtId="0" fontId="0" fillId="8" borderId="0" pivotButton="0" quotePrefix="0" xfId="0"/>
    <xf numFmtId="0" fontId="3" fillId="0" borderId="0" applyAlignment="1" pivotButton="0" quotePrefix="0" xfId="0">
      <alignment horizontal="center" vertical="top"/>
    </xf>
    <xf numFmtId="0" fontId="5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9" borderId="1" applyAlignment="1" pivotButton="0" quotePrefix="0" xfId="0">
      <alignment horizontal="center" vertical="center" wrapText="1"/>
    </xf>
    <xf numFmtId="164" fontId="3" fillId="7" borderId="1" applyAlignment="1" pivotButton="0" quotePrefix="0" xfId="0">
      <alignment vertical="top" wrapText="1"/>
    </xf>
    <xf numFmtId="0" fontId="4" fillId="0" borderId="0" pivotButton="0" quotePrefix="0" xfId="0"/>
    <xf numFmtId="0" fontId="3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12" customWidth="1" min="3" max="3"/>
    <col width="12" customWidth="1" min="4" max="4"/>
    <col width="14" customWidth="1" min="5" max="5"/>
    <col width="10" customWidth="1" min="6" max="6"/>
    <col width="12" customWidth="1" min="7" max="7"/>
    <col width="12" customWidth="1" min="8" max="8"/>
    <col width="14" customWidth="1" min="9" max="9"/>
    <col width="50" customWidth="1" min="10" max="10"/>
    <col width="12" customWidth="1" min="11" max="11"/>
    <col width="14" customWidth="1" min="12" max="12"/>
    <col width="18" customWidth="1" min="13" max="13"/>
    <col width="18" customWidth="1" min="14" max="14"/>
    <col width="40" customWidth="1" min="15" max="15"/>
  </cols>
  <sheetData>
    <row r="1">
      <c r="A1" s="1" t="inlineStr">
        <is>
          <t>Hourly Rate:</t>
        </is>
      </c>
      <c r="B1" s="2" t="n">
        <v>150</v>
      </c>
    </row>
    <row r="3">
      <c r="A3" s="3" t="inlineStr">
        <is>
          <t>Workstream</t>
        </is>
      </c>
      <c r="B3" s="3" t="inlineStr">
        <is>
          <t>Description</t>
        </is>
      </c>
      <c r="C3" s="3" t="inlineStr">
        <is>
          <t>Min Hours</t>
        </is>
      </c>
      <c r="D3" s="3" t="inlineStr">
        <is>
          <t>Max Hours</t>
        </is>
      </c>
      <c r="E3" s="3" t="inlineStr">
        <is>
          <t>Median Hours</t>
        </is>
      </c>
      <c r="F3" s="3" t="inlineStr">
        <is>
          <t>Rate</t>
        </is>
      </c>
      <c r="G3" s="3" t="inlineStr">
        <is>
          <t>Min Cost</t>
        </is>
      </c>
      <c r="H3" s="3" t="inlineStr">
        <is>
          <t>Max Cost</t>
        </is>
      </c>
      <c r="I3" s="3" t="inlineStr">
        <is>
          <t>Median Cost</t>
        </is>
      </c>
      <c r="J3" s="3" t="inlineStr">
        <is>
          <t>Notes / Assumptions</t>
        </is>
      </c>
      <c r="K3" s="18" t="inlineStr">
        <is>
          <t>Actual Hours</t>
        </is>
      </c>
      <c r="L3" s="18" t="inlineStr">
        <is>
          <t>Actual Cost</t>
        </is>
      </c>
      <c r="M3" s="18" t="inlineStr">
        <is>
          <t>Hour Variance (Actual - Median)</t>
        </is>
      </c>
      <c r="N3" s="18" t="inlineStr">
        <is>
          <t>Cost Variance (Actual - Median)</t>
        </is>
      </c>
      <c r="O3" s="18" t="inlineStr">
        <is>
          <t>Variance Notes</t>
        </is>
      </c>
    </row>
    <row r="4">
      <c r="A4" s="4" t="inlineStr">
        <is>
          <t>CRM Architecture &amp; Setup</t>
        </is>
      </c>
      <c r="B4" s="4" t="inlineStr">
        <is>
          <t>HubSpot Sales Hub Professional portal configuration, user roles/permissions for 5 paid seats + view-only access, team structure (M&amp;A team, Real Estate team, Operations), branding, default settings</t>
        </is>
      </c>
      <c r="C4" s="4" t="n">
        <v>6</v>
      </c>
      <c r="D4" s="4" t="n">
        <v>10</v>
      </c>
      <c r="E4" s="4" t="n">
        <v>8</v>
      </c>
      <c r="F4" s="5">
        <f>$B$1</f>
        <v/>
      </c>
      <c r="G4" s="5">
        <f>C4*$B$1</f>
        <v/>
      </c>
      <c r="H4" s="5">
        <f>D4*$B$1</f>
        <v/>
      </c>
      <c r="I4" s="5">
        <f>E4*$B$1</f>
        <v/>
      </c>
      <c r="J4" s="4" t="inlineStr">
        <is>
          <t>Assumes HubSpot Sales Hub Professional; 5 paid seats + view-only for Jess/Brian; FINRA compliance review of tracking settings</t>
        </is>
      </c>
      <c r="K4" s="12" t="n"/>
      <c r="L4" s="19">
        <f>IF(K4="","",K4*$B$1)</f>
        <v/>
      </c>
      <c r="M4" s="4">
        <f>IF(K4="","",K4-E4)</f>
        <v/>
      </c>
      <c r="N4" s="5">
        <f>IF(L4="","",L4-I4)</f>
        <v/>
      </c>
      <c r="O4" s="12" t="n"/>
    </row>
    <row r="5">
      <c r="A5" s="6" t="inlineStr">
        <is>
          <t>Contact &amp; Company Management</t>
        </is>
      </c>
      <c r="B5" s="6" t="inlineStr">
        <is>
          <t>Custom contact/company properties (up to 25), lifecycle stages for companies (Unknown &gt; Known Opportunity &gt; Active Deal &gt; Portfolio Company &gt; Sold), association labels, contact categories (deal sourcing, vendors, LPs, lenders), parent-child company taxonomy, dedup strategy</t>
        </is>
      </c>
      <c r="C5" s="6" t="n">
        <v>8</v>
      </c>
      <c r="D5" s="6" t="n">
        <v>14</v>
      </c>
      <c r="E5" s="6" t="n">
        <v>11</v>
      </c>
      <c r="F5" s="7">
        <f>$B$1</f>
        <v/>
      </c>
      <c r="G5" s="7">
        <f>C5*$B$1</f>
        <v/>
      </c>
      <c r="H5" s="7">
        <f>D5*$B$1</f>
        <v/>
      </c>
      <c r="I5" s="7">
        <f>E5*$B$1</f>
        <v/>
      </c>
      <c r="J5" s="6" t="inlineStr">
        <is>
          <t>Lifecycle stages customized for PE fund; parent-child associations for portfolio companies; assumes up to 25 custom properties</t>
        </is>
      </c>
      <c r="K5" s="12" t="n"/>
      <c r="L5" s="7">
        <f>IF(K5="","",K5*$B$1)</f>
        <v/>
      </c>
      <c r="M5" s="4">
        <f>IF(K5="","",K5-E5)</f>
        <v/>
      </c>
      <c r="N5" s="5">
        <f>IF(L5="","",L5-I5)</f>
        <v/>
      </c>
      <c r="O5" s="12" t="n"/>
    </row>
    <row r="6">
      <c r="A6" s="4" t="inlineStr">
        <is>
          <t>Pipeline &amp; Deal Management: M&amp;A</t>
        </is>
      </c>
      <c r="B6" s="4" t="inlineStr">
        <is>
          <t>5-stage M&amp;A pipeline (Pre-Screen Opportunity &gt; NDA Signed &gt; Marketing Material Review &gt; Offer Submitted/Mgmt Presentations &amp; Diligence &gt; LOI Signed/Closing), deal properties, required fields per stage, review tracking properties (partner review checkboxes)</t>
        </is>
      </c>
      <c r="C6" s="4" t="n">
        <v>6</v>
      </c>
      <c r="D6" s="4" t="n">
        <v>10</v>
      </c>
      <c r="E6" s="4" t="n">
        <v>8</v>
      </c>
      <c r="F6" s="5">
        <f>$B$1</f>
        <v/>
      </c>
      <c r="G6" s="5">
        <f>C6*$B$1</f>
        <v/>
      </c>
      <c r="H6" s="5">
        <f>D6*$B$1</f>
        <v/>
      </c>
      <c r="I6" s="5">
        <f>E6*$B$1</f>
        <v/>
      </c>
      <c r="J6" s="4" t="inlineStr">
        <is>
          <t>Includes partner review tracking properties; stage definitions confirmed in discovery; closed-won becomes Portfolio Company lifecycle stage</t>
        </is>
      </c>
      <c r="K6" s="12" t="n"/>
      <c r="L6" s="19">
        <f>IF(K6="","",K6*$B$1)</f>
        <v/>
      </c>
      <c r="M6" s="4">
        <f>IF(K6="","",K6-E6)</f>
        <v/>
      </c>
      <c r="N6" s="5">
        <f>IF(L6="","",L6-I6)</f>
        <v/>
      </c>
      <c r="O6" s="12" t="n"/>
    </row>
    <row r="7">
      <c r="A7" s="6" t="inlineStr">
        <is>
          <t>Pipeline &amp; Deal Management: Real Estate</t>
        </is>
      </c>
      <c r="B7" s="6" t="inlineStr">
        <is>
          <t>Separate pipeline for parking garage deals with customized stages, deal properties, and tracking fields specific to real estate acquisition lifecycle</t>
        </is>
      </c>
      <c r="C7" s="6" t="n">
        <v>6</v>
      </c>
      <c r="D7" s="6" t="n">
        <v>10</v>
      </c>
      <c r="E7" s="6" t="n">
        <v>8</v>
      </c>
      <c r="F7" s="7">
        <f>$B$1</f>
        <v/>
      </c>
      <c r="G7" s="7">
        <f>C7*$B$1</f>
        <v/>
      </c>
      <c r="H7" s="7">
        <f>D7*$B$1</f>
        <v/>
      </c>
      <c r="I7" s="7">
        <f>E7*$B$1</f>
        <v/>
      </c>
      <c r="J7" s="6" t="inlineStr">
        <is>
          <t>CONTINGENT: Stages TBD pending discovery call with Vijay and Philip; estimate assumes comparable complexity to M&amp;A pipeline</t>
        </is>
      </c>
      <c r="K7" s="12" t="n"/>
      <c r="L7" s="7">
        <f>IF(K7="","",K7*$B$1)</f>
        <v/>
      </c>
      <c r="M7" s="4">
        <f>IF(K7="","",K7-E7)</f>
        <v/>
      </c>
      <c r="N7" s="5">
        <f>IF(L7="","",L7-I7)</f>
        <v/>
      </c>
      <c r="O7" s="12" t="n"/>
    </row>
    <row r="8">
      <c r="A8" s="4" t="inlineStr">
        <is>
          <t>Automations &amp; Workflows</t>
        </is>
      </c>
      <c r="B8" s="4" t="inlineStr">
        <is>
          <t>Deal stage progression triggers, partner review notification workflows, NDA status tracking, deal-to-portfolio-company lifecycle automation, task creation for new deal stages, basic lead routing</t>
        </is>
      </c>
      <c r="C8" s="4" t="n">
        <v>10</v>
      </c>
      <c r="D8" s="4" t="n">
        <v>18</v>
      </c>
      <c r="E8" s="4" t="n">
        <v>14</v>
      </c>
      <c r="F8" s="5">
        <f>$B$1</f>
        <v/>
      </c>
      <c r="G8" s="5">
        <f>C8*$B$1</f>
        <v/>
      </c>
      <c r="H8" s="5">
        <f>D8*$B$1</f>
        <v/>
      </c>
      <c r="I8" s="5">
        <f>E8*$B$1</f>
        <v/>
      </c>
      <c r="J8" s="4" t="inlineStr">
        <is>
          <t>Requires Sales Hub Professional for workflow automation; up to 8 workflows; NDA attachment automation limited without e-signature tool</t>
        </is>
      </c>
      <c r="K8" s="12" t="n"/>
      <c r="L8" s="19">
        <f>IF(K8="","",K8*$B$1)</f>
        <v/>
      </c>
      <c r="M8" s="4">
        <f>IF(K8="","",K8-E8)</f>
        <v/>
      </c>
      <c r="N8" s="5">
        <f>IF(L8="","",L8-I8)</f>
        <v/>
      </c>
      <c r="O8" s="12" t="n"/>
    </row>
    <row r="9">
      <c r="A9" s="6" t="inlineStr">
        <is>
          <t>Email &amp; Communication Setup</t>
        </is>
      </c>
      <c r="B9" s="6" t="inlineStr">
        <is>
          <t>Outlook integration for 5 users (HubSpot Sales Extension/Add-in), email tracking configuration, connected inbox setup, calendar sync, meeting link configuration</t>
        </is>
      </c>
      <c r="C9" s="6" t="n">
        <v>6</v>
      </c>
      <c r="D9" s="6" t="n">
        <v>10</v>
      </c>
      <c r="E9" s="6" t="n">
        <v>8</v>
      </c>
      <c r="F9" s="7">
        <f>$B$1</f>
        <v/>
      </c>
      <c r="G9" s="7">
        <f>C9*$B$1</f>
        <v/>
      </c>
      <c r="H9" s="7">
        <f>D9*$B$1</f>
        <v/>
      </c>
      <c r="I9" s="7">
        <f>E9*$B$1</f>
        <v/>
      </c>
      <c r="J9" s="6" t="inlineStr">
        <is>
          <t>All users on Outlook/M365; includes HubSpot Outlook add-in installation per user; FINRA review needed on email tracking pixels</t>
        </is>
      </c>
      <c r="K9" s="12" t="n"/>
      <c r="L9" s="7">
        <f>IF(K9="","",K9*$B$1)</f>
        <v/>
      </c>
      <c r="M9" s="4">
        <f>IF(K9="","",K9-E9)</f>
        <v/>
      </c>
      <c r="N9" s="5">
        <f>IF(L9="","",L9-I9)</f>
        <v/>
      </c>
      <c r="O9" s="12" t="n"/>
    </row>
    <row r="10">
      <c r="A10" s="4" t="inlineStr">
        <is>
          <t>Reporting &amp; Dashboards</t>
        </is>
      </c>
      <c r="B10" s="4" t="inlineStr">
        <is>
          <t>M&amp;A pipeline dashboard, Real Estate pipeline dashboard, conversion rate reports, deal velocity metrics, basic activity reporting, Breeze AI search configuration for meeting notes</t>
        </is>
      </c>
      <c r="C10" s="4" t="n">
        <v>6</v>
      </c>
      <c r="D10" s="4" t="n">
        <v>12</v>
      </c>
      <c r="E10" s="4" t="n">
        <v>9</v>
      </c>
      <c r="F10" s="5">
        <f>$B$1</f>
        <v/>
      </c>
      <c r="G10" s="5">
        <f>C10*$B$1</f>
        <v/>
      </c>
      <c r="H10" s="5">
        <f>D10*$B$1</f>
        <v/>
      </c>
      <c r="I10" s="5">
        <f>E10*$B$1</f>
        <v/>
      </c>
      <c r="J10" s="4" t="inlineStr">
        <is>
          <t>Assumes 2-3 dashboards with up to 8 custom reports; Breeze AI note search is best-effort (new feature, limited guarantees)</t>
        </is>
      </c>
      <c r="K10" s="12" t="n"/>
      <c r="L10" s="19">
        <f>IF(K10="","",K10*$B$1)</f>
        <v/>
      </c>
      <c r="M10" s="4">
        <f>IF(K10="","",K10-E10)</f>
        <v/>
      </c>
      <c r="N10" s="5">
        <f>IF(L10="","",L10-I10)</f>
        <v/>
      </c>
      <c r="O10" s="12" t="n"/>
    </row>
    <row r="11">
      <c r="A11" s="6" t="inlineStr">
        <is>
          <t>Data Migration: Contact Import</t>
        </is>
      </c>
      <c r="B11" s="6" t="inlineStr">
        <is>
          <t>Create error-free Excel import template aligned to HubSpot properties, support Frank/Pavel in populating template, field mapping, test load, validation, final import, post-import dedup review</t>
        </is>
      </c>
      <c r="C11" s="6" t="n">
        <v>8</v>
      </c>
      <c r="D11" s="6" t="n">
        <v>16</v>
      </c>
      <c r="E11" s="6" t="n">
        <v>12</v>
      </c>
      <c r="F11" s="7">
        <f>$B$1</f>
        <v/>
      </c>
      <c r="G11" s="7">
        <f>C11*$B$1</f>
        <v/>
      </c>
      <c r="H11" s="7">
        <f>D11*$B$1</f>
        <v/>
      </c>
      <c r="I11" s="7">
        <f>E11*$B$1</f>
        <v/>
      </c>
      <c r="J11" s="6" t="inlineStr">
        <is>
          <t>Client populates template; assumes under 1,000 contacts initially from LinkedIn exports and manual entry; 1 test load before final import</t>
        </is>
      </c>
      <c r="K11" s="12" t="n"/>
      <c r="L11" s="7">
        <f>IF(K11="","",K11*$B$1)</f>
        <v/>
      </c>
      <c r="M11" s="4">
        <f>IF(K11="","",K11-E11)</f>
        <v/>
      </c>
      <c r="N11" s="5">
        <f>IF(L11="","",L11-I11)</f>
        <v/>
      </c>
      <c r="O11" s="12" t="n"/>
    </row>
    <row r="12">
      <c r="A12" s="4" t="inlineStr">
        <is>
          <t>Training: Admin</t>
        </is>
      </c>
      <c r="B12" s="4" t="inlineStr">
        <is>
          <t>Power user training for Frank covering portal settings, property management, pipeline management, workflow editing, reporting, user management</t>
        </is>
      </c>
      <c r="C12" s="4" t="n">
        <v>4</v>
      </c>
      <c r="D12" s="4" t="n">
        <v>8</v>
      </c>
      <c r="E12" s="4" t="n">
        <v>6</v>
      </c>
      <c r="F12" s="5">
        <f>$B$1</f>
        <v/>
      </c>
      <c r="G12" s="5">
        <f>C12*$B$1</f>
        <v/>
      </c>
      <c r="H12" s="5">
        <f>D12*$B$1</f>
        <v/>
      </c>
      <c r="I12" s="5">
        <f>E12*$B$1</f>
        <v/>
      </c>
      <c r="J12" s="4" t="inlineStr">
        <is>
          <t>1-2 sessions; Frank is primary admin; includes walk-through of all configurable areas</t>
        </is>
      </c>
      <c r="K12" s="12" t="n"/>
      <c r="L12" s="19">
        <f>IF(K12="","",K12*$B$1)</f>
        <v/>
      </c>
      <c r="M12" s="4">
        <f>IF(K12="","",K12-E12)</f>
        <v/>
      </c>
      <c r="N12" s="5">
        <f>IF(L12="","",L12-I12)</f>
        <v/>
      </c>
      <c r="O12" s="12" t="n"/>
    </row>
    <row r="13">
      <c r="A13" s="6" t="inlineStr">
        <is>
          <t>Training: End Users</t>
        </is>
      </c>
      <c r="B13" s="6" t="inlineStr">
        <is>
          <t>End-user training for deal team (Pavel, Vijay, Philip) and EA covering daily CRM usage, Outlook integration, deal updates, contact management, mobile app</t>
        </is>
      </c>
      <c r="C13" s="6" t="n">
        <v>4</v>
      </c>
      <c r="D13" s="6" t="n">
        <v>8</v>
      </c>
      <c r="E13" s="6" t="n">
        <v>6</v>
      </c>
      <c r="F13" s="7">
        <f>$B$1</f>
        <v/>
      </c>
      <c r="G13" s="7">
        <f>C13*$B$1</f>
        <v/>
      </c>
      <c r="H13" s="7">
        <f>D13*$B$1</f>
        <v/>
      </c>
      <c r="I13" s="7">
        <f>E13*$B$1</f>
        <v/>
      </c>
      <c r="J13" s="6" t="inlineStr">
        <is>
          <t>1-2 sessions; may split M&amp;A and Real Estate teams; includes Outlook add-in setup walkthrough</t>
        </is>
      </c>
      <c r="K13" s="12" t="n"/>
      <c r="L13" s="7">
        <f>IF(K13="","",K13*$B$1)</f>
        <v/>
      </c>
      <c r="M13" s="4">
        <f>IF(K13="","",K13-E13)</f>
        <v/>
      </c>
      <c r="N13" s="5">
        <f>IF(L13="","",L13-I13)</f>
        <v/>
      </c>
      <c r="O13" s="12" t="n"/>
    </row>
    <row r="14">
      <c r="A14" s="4" t="inlineStr">
        <is>
          <t>Training: Operations (Optional)</t>
        </is>
      </c>
      <c r="B14" s="4" t="inlineStr">
        <is>
          <t>Light training for Jess on email tools and basic CRM navigation if marketing tools are added later</t>
        </is>
      </c>
      <c r="C14" s="4" t="n">
        <v>2</v>
      </c>
      <c r="D14" s="4" t="n">
        <v>4</v>
      </c>
      <c r="E14" s="4" t="n">
        <v>3</v>
      </c>
      <c r="F14" s="5">
        <f>$B$1</f>
        <v/>
      </c>
      <c r="G14" s="5">
        <f>C14*$B$1</f>
        <v/>
      </c>
      <c r="H14" s="5">
        <f>D14*$B$1</f>
        <v/>
      </c>
      <c r="I14" s="5">
        <f>E14*$B$1</f>
        <v/>
      </c>
      <c r="J14" s="4" t="inlineStr">
        <is>
          <t>Optional; Cameron offered 30-min walkthrough; only needed if Jess will use email/marketing features</t>
        </is>
      </c>
      <c r="K14" s="12" t="n"/>
      <c r="L14" s="19">
        <f>IF(K14="","",K14*$B$1)</f>
        <v/>
      </c>
      <c r="M14" s="4">
        <f>IF(K14="","",K14-E14)</f>
        <v/>
      </c>
      <c r="N14" s="5">
        <f>IF(L14="","",L14-I14)</f>
        <v/>
      </c>
      <c r="O14" s="12" t="n"/>
    </row>
    <row r="15">
      <c r="A15" s="6" t="inlineStr">
        <is>
          <t>UAT &amp; Go-Live</t>
        </is>
      </c>
      <c r="B15" s="6" t="inlineStr">
        <is>
          <t>User acceptance testing across both pipelines, test scripts, bug fixes, go-live cutover plan, 2-week hypercare support</t>
        </is>
      </c>
      <c r="C15" s="6" t="n">
        <v>6</v>
      </c>
      <c r="D15" s="6" t="n">
        <v>12</v>
      </c>
      <c r="E15" s="6" t="n">
        <v>9</v>
      </c>
      <c r="F15" s="7">
        <f>$B$1</f>
        <v/>
      </c>
      <c r="G15" s="7">
        <f>C15*$B$1</f>
        <v/>
      </c>
      <c r="H15" s="7">
        <f>D15*$B$1</f>
        <v/>
      </c>
      <c r="I15" s="7">
        <f>E15*$B$1</f>
        <v/>
      </c>
      <c r="J15" s="6" t="inlineStr">
        <is>
          <t>Includes test script creation, 2 UAT sessions, bug fix window, go-live checklist, 2 weeks post-launch support</t>
        </is>
      </c>
      <c r="K15" s="12" t="n"/>
      <c r="L15" s="7">
        <f>IF(K15="","",K15*$B$1)</f>
        <v/>
      </c>
      <c r="M15" s="4">
        <f>IF(K15="","",K15-E15)</f>
        <v/>
      </c>
      <c r="N15" s="5">
        <f>IF(L15="","",L15-I15)</f>
        <v/>
      </c>
      <c r="O15" s="12" t="n"/>
    </row>
    <row r="16">
      <c r="A16" s="4" t="inlineStr">
        <is>
          <t>Documentation &amp; SOPs</t>
        </is>
      </c>
      <c r="B16" s="4" t="inlineStr">
        <is>
          <t>Process documentation, user guide, admin reference guide, Outlook integration quick-start guide, deal stage definitions document</t>
        </is>
      </c>
      <c r="C16" s="4" t="n">
        <v>4</v>
      </c>
      <c r="D16" s="4" t="n">
        <v>8</v>
      </c>
      <c r="E16" s="4" t="n">
        <v>6</v>
      </c>
      <c r="F16" s="5">
        <f>$B$1</f>
        <v/>
      </c>
      <c r="G16" s="5">
        <f>C16*$B$1</f>
        <v/>
      </c>
      <c r="H16" s="5">
        <f>D16*$B$1</f>
        <v/>
      </c>
      <c r="I16" s="5">
        <f>E16*$B$1</f>
        <v/>
      </c>
      <c r="J16" s="4" t="inlineStr">
        <is>
          <t>Deliverables: 1 admin guide, 1 end-user guide, 1 deal stage reference doc</t>
        </is>
      </c>
      <c r="K16" s="12" t="n"/>
      <c r="L16" s="19">
        <f>IF(K16="","",K16*$B$1)</f>
        <v/>
      </c>
      <c r="M16" s="4">
        <f>IF(K16="","",K16-E16)</f>
        <v/>
      </c>
      <c r="N16" s="5">
        <f>IF(L16="","",L16-I16)</f>
        <v/>
      </c>
      <c r="O16" s="12" t="n"/>
    </row>
    <row r="17">
      <c r="A17" s="6" t="inlineStr">
        <is>
          <t>Project Management</t>
        </is>
      </c>
      <c r="B17" s="6" t="inlineStr">
        <is>
          <t>Kickoff, weekly status calls, project plan, stakeholder communication, change management</t>
        </is>
      </c>
      <c r="C17" s="6" t="n">
        <v>10</v>
      </c>
      <c r="D17" s="6" t="n">
        <v>16</v>
      </c>
      <c r="E17" s="6" t="n">
        <v>13</v>
      </c>
      <c r="F17" s="7">
        <f>$B$1</f>
        <v/>
      </c>
      <c r="G17" s="7">
        <f>C17*$B$1</f>
        <v/>
      </c>
      <c r="H17" s="7">
        <f>D17*$B$1</f>
        <v/>
      </c>
      <c r="I17" s="7">
        <f>E17*$B$1</f>
        <v/>
      </c>
      <c r="J17" s="6" t="inlineStr">
        <is>
          <t>~12% of total hours; assumes 6-8 week timeline; weekly 30-min syncs with Frank as primary contact</t>
        </is>
      </c>
      <c r="K17" s="12" t="n"/>
      <c r="L17" s="7">
        <f>IF(K17="","",K17*$B$1)</f>
        <v/>
      </c>
      <c r="M17" s="4">
        <f>IF(K17="","",K17-E17)</f>
        <v/>
      </c>
      <c r="N17" s="5">
        <f>IF(L17="","",L17-I17)</f>
        <v/>
      </c>
      <c r="O17" s="12" t="n"/>
    </row>
    <row r="18">
      <c r="A18" s="8" t="inlineStr">
        <is>
          <t>TOTAL</t>
        </is>
      </c>
      <c r="B18" s="8" t="n"/>
      <c r="C18" s="8">
        <f>SUM(C4:C17)</f>
        <v/>
      </c>
      <c r="D18" s="8">
        <f>SUM(D4:D17)</f>
        <v/>
      </c>
      <c r="E18" s="8">
        <f>SUM(E4:E17)</f>
        <v/>
      </c>
      <c r="F18" s="8" t="n"/>
      <c r="G18" s="9">
        <f>SUM(G4:G17)</f>
        <v/>
      </c>
      <c r="H18" s="9">
        <f>SUM(H4:H17)</f>
        <v/>
      </c>
      <c r="I18" s="9">
        <f>SUM(I4:I17)</f>
        <v/>
      </c>
      <c r="J18" s="8" t="n"/>
      <c r="K18" s="8">
        <f>IF(COUNTA(K4:K17)=0,"",SUM(K4:K17))</f>
        <v/>
      </c>
      <c r="L18" s="9">
        <f>IF(COUNTA(L4:L17)=0,"",SUM(L4:L17))</f>
        <v/>
      </c>
      <c r="M18" s="8">
        <f>IF(COUNTA(M4:M17)=0,"",SUM(M4:M17))</f>
        <v/>
      </c>
      <c r="N18" s="9">
        <f>IF(COUNTA(N4:N17)=0,"",SUM(N4:N17))</f>
        <v/>
      </c>
      <c r="O18" s="8" t="n"/>
    </row>
    <row r="20">
      <c r="A20" s="20" t="inlineStr">
        <is>
          <t>POST-PROJECT SUMMARY</t>
        </is>
      </c>
    </row>
    <row r="21">
      <c r="A21" s="1" t="inlineStr">
        <is>
          <t>Project Status:</t>
        </is>
      </c>
      <c r="B21" s="21" t="n"/>
    </row>
    <row r="22">
      <c r="A22" s="1" t="inlineStr">
        <is>
          <t>Actual Start Date:</t>
        </is>
      </c>
      <c r="B22" s="21" t="n"/>
    </row>
    <row r="23">
      <c r="A23" s="1" t="inlineStr">
        <is>
          <t>Actual End Date:</t>
        </is>
      </c>
      <c r="B23" s="21" t="n"/>
    </row>
    <row r="24">
      <c r="A24" s="1" t="inlineStr">
        <is>
          <t>Actual Duration (weeks):</t>
        </is>
      </c>
      <c r="B24" s="21" t="n"/>
    </row>
    <row r="25">
      <c r="A25" s="1" t="inlineStr">
        <is>
          <t>Scope Changes (count):</t>
        </is>
      </c>
      <c r="B25" s="21" t="n"/>
    </row>
    <row r="26">
      <c r="A26" s="1" t="inlineStr">
        <is>
          <t>Change Order Value:</t>
        </is>
      </c>
      <c r="B26" s="21" t="n"/>
    </row>
    <row r="27">
      <c r="A27" s="1" t="inlineStr">
        <is>
          <t>Overall Assessment:</t>
        </is>
      </c>
      <c r="B27" s="2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12" customWidth="1" min="4" max="4"/>
    <col width="55" customWidth="1" min="5" max="5"/>
    <col width="55" customWidth="1" min="6" max="6"/>
    <col width="22" customWidth="1" min="7" max="7"/>
    <col width="10" customWidth="1" min="8" max="8"/>
  </cols>
  <sheetData>
    <row r="1">
      <c r="A1" s="3" t="inlineStr">
        <is>
          <t>#</t>
        </is>
      </c>
      <c r="B1" s="3" t="inlineStr">
        <is>
          <t>Risk</t>
        </is>
      </c>
      <c r="C1" s="3" t="inlineStr">
        <is>
          <t>Severity</t>
        </is>
      </c>
      <c r="D1" s="3" t="inlineStr">
        <is>
          <t>Likelihood</t>
        </is>
      </c>
      <c r="E1" s="3" t="inlineStr">
        <is>
          <t>Impact</t>
        </is>
      </c>
      <c r="F1" s="3" t="inlineStr">
        <is>
          <t>Mitigation</t>
        </is>
      </c>
      <c r="G1" s="3" t="inlineStr">
        <is>
          <t>Owner</t>
        </is>
      </c>
      <c r="H1" s="3" t="inlineStr">
        <is>
          <t>Status</t>
        </is>
      </c>
    </row>
    <row r="2">
      <c r="A2" s="4" t="n">
        <v>1</v>
      </c>
      <c r="B2" s="4" t="inlineStr">
        <is>
          <t>Scope Creep (Relationship Risk)</t>
        </is>
      </c>
      <c r="C2" s="10" t="inlineStr">
        <is>
          <t>HIGH</t>
        </is>
      </c>
      <c r="D2" s="4" t="inlineStr">
        <is>
          <t>HIGH</t>
        </is>
      </c>
      <c r="E2" s="4" t="inlineStr">
        <is>
          <t>Close personal relationship (shared office, subleasing from Sayer) creates pressure for informal scope additions, free consultations, and "quick favors" that erode project boundaries and profitability</t>
        </is>
      </c>
      <c r="F2" s="4" t="inlineStr">
        <is>
          <t>Define SOW boundaries explicitly; all work beyond SOW is change-ordered; set expectations upfront that professional relationship requires professional boundaries; document all verbal agreements</t>
        </is>
      </c>
      <c r="G2" s="4" t="inlineStr">
        <is>
          <t>Consultant</t>
        </is>
      </c>
      <c r="H2" s="4" t="inlineStr">
        <is>
          <t>Open</t>
        </is>
      </c>
    </row>
    <row r="3">
      <c r="A3" s="6" t="n">
        <v>2</v>
      </c>
      <c r="B3" s="6" t="inlineStr">
        <is>
          <t>FINRA Compliance Constraints</t>
        </is>
      </c>
      <c r="C3" s="10" t="inlineStr">
        <is>
          <t>HIGH</t>
        </is>
      </c>
      <c r="D3" s="6" t="inlineStr">
        <is>
          <t>MEDIUM</t>
        </is>
      </c>
      <c r="E3" s="6" t="inlineStr">
        <is>
          <t>FINRA broker-dealer regulations may restrict email tracking pixels, data storage practices, or CRM feature usage; non-compliance could create regulatory liability for client</t>
        </is>
      </c>
      <c r="F3" s="6" t="inlineStr">
        <is>
          <t>Recommend client review HubSpot configuration with compliance counsel before go-live; disable email open/click tracking by default until cleared; document all compliance-sensitive decisions; flag data residency for India-based EA access</t>
        </is>
      </c>
      <c r="G3" s="6" t="inlineStr">
        <is>
          <t>Client (Jess/compliance)</t>
        </is>
      </c>
      <c r="H3" s="6" t="inlineStr">
        <is>
          <t>Open</t>
        </is>
      </c>
    </row>
    <row r="4">
      <c r="A4" s="4" t="n">
        <v>3</v>
      </c>
      <c r="B4" s="4" t="inlineStr">
        <is>
          <t>Real Estate Pipeline Undefined</t>
        </is>
      </c>
      <c r="C4" s="11" t="inlineStr">
        <is>
          <t>MEDIUM</t>
        </is>
      </c>
      <c r="D4" s="4" t="inlineStr">
        <is>
          <t>HIGH</t>
        </is>
      </c>
      <c r="E4" s="4" t="inlineStr">
        <is>
          <t>Real estate deal stages (Vijay/Philip parking garage pipeline) have not been discovered; scoping is based on assumed comparable complexity; actual requirements may significantly differ</t>
        </is>
      </c>
      <c r="F4" s="4" t="inlineStr">
        <is>
          <t>Schedule discovery call with Vijay and Philip before implementation begins; scope real estate pipeline as contingent line item; adjust estimate after discovery</t>
        </is>
      </c>
      <c r="G4" s="4" t="inlineStr">
        <is>
          <t>Client (Frank) + Consultant</t>
        </is>
      </c>
      <c r="H4" s="4" t="inlineStr">
        <is>
          <t>Open</t>
        </is>
      </c>
    </row>
    <row r="5">
      <c r="A5" s="6" t="n">
        <v>4</v>
      </c>
      <c r="B5" s="6" t="inlineStr">
        <is>
          <t>Budget Gatekeeper Misalignment</t>
        </is>
      </c>
      <c r="C5" s="11" t="inlineStr">
        <is>
          <t>MEDIUM</t>
        </is>
      </c>
      <c r="D5" s="6" t="inlineStr">
        <is>
          <t>MEDIUM</t>
        </is>
      </c>
      <c r="E5" s="6" t="inlineStr">
        <is>
          <t>Jess controls budget but was not in the detailed discovery call; Frank may commit to scope that Jess later rejects on cost; could delay or derail project after work begins</t>
        </is>
      </c>
      <c r="F5" s="6" t="inlineStr">
        <is>
          <t>Ensure SOW is reviewed and signed by Jess/Brian (budget authority); present cost breakdown with clear ROI framing; include optional line items that can be removed to reduce cost</t>
        </is>
      </c>
      <c r="G5" s="6" t="inlineStr">
        <is>
          <t>Client (Frank/Jess)</t>
        </is>
      </c>
      <c r="H5" s="6" t="inlineStr">
        <is>
          <t>Open</t>
        </is>
      </c>
    </row>
    <row r="6">
      <c r="A6" s="4" t="n">
        <v>5</v>
      </c>
      <c r="B6" s="4" t="inlineStr">
        <is>
          <t>NDA Automation Limitations</t>
        </is>
      </c>
      <c r="C6" s="11" t="inlineStr">
        <is>
          <t>MEDIUM</t>
        </is>
      </c>
      <c r="D6" s="4" t="inlineStr">
        <is>
          <t>HIGH</t>
        </is>
      </c>
      <c r="E6" s="4" t="inlineStr">
        <is>
          <t>Cameron discussed auto-attaching signed NDAs and auto-advancing deal stages, but without DocuSign or e-signature integration, this is manual; client may expect automated functionality that is not feasible</t>
        </is>
      </c>
      <c r="F6" s="4" t="inlineStr">
        <is>
          <t>Clearly document that NDA tracking is manual (checkbox property) without e-signature tool; present DocuSign integration as future Phase 2 option; manage expectations in SOW</t>
        </is>
      </c>
      <c r="G6" s="4" t="inlineStr">
        <is>
          <t>Consultant</t>
        </is>
      </c>
      <c r="H6" s="4" t="inlineStr">
        <is>
          <t>Open</t>
        </is>
      </c>
    </row>
    <row r="7">
      <c r="A7" s="6" t="n">
        <v>6</v>
      </c>
      <c r="B7" s="6" t="inlineStr">
        <is>
          <t>Outlook Integration Quality</t>
        </is>
      </c>
      <c r="C7" s="11" t="inlineStr">
        <is>
          <t>MEDIUM</t>
        </is>
      </c>
      <c r="D7" s="6" t="inlineStr">
        <is>
          <t>MEDIUM</t>
        </is>
      </c>
      <c r="E7" s="6" t="inlineStr">
        <is>
          <t>HubSpot Outlook integration has historically been less robust than Gmail; sidebar extension stability varies by M365 configuration; could frustrate users and hurt adoption</t>
        </is>
      </c>
      <c r="F7" s="6" t="inlineStr">
        <is>
          <t>Test Outlook integration with client M365 environment during Week 1; validate sidebar, email logging, and calendar sync; have fallback plan (BCC forwarding) if extension is unstable</t>
        </is>
      </c>
      <c r="G7" s="6" t="inlineStr">
        <is>
          <t>Consultant</t>
        </is>
      </c>
      <c r="H7" s="6" t="inlineStr">
        <is>
          <t>Open</t>
        </is>
      </c>
    </row>
    <row r="8">
      <c r="A8" s="4" t="n">
        <v>7</v>
      </c>
      <c r="B8" s="4" t="inlineStr">
        <is>
          <t>Data Quality / Volume Unknown</t>
        </is>
      </c>
      <c r="C8" s="12" t="inlineStr">
        <is>
          <t>LOW</t>
        </is>
      </c>
      <c r="D8" s="4" t="inlineStr">
        <is>
          <t>MEDIUM</t>
        </is>
      </c>
      <c r="E8" s="4" t="inlineStr">
        <is>
          <t>Contact volume not confirmed; Frank mentioned "10 key people" to start but categories span deal sourcing, vendors, LPs, lenders; actual volume could be significantly higher than estimated</t>
        </is>
      </c>
      <c r="F8" s="4" t="inlineStr">
        <is>
          <t>Cap initial import scope at template-based upload; client populates template; if volume exceeds 1,000 contacts or requires multi-source merging, change order applies</t>
        </is>
      </c>
      <c r="G8" s="4" t="inlineStr">
        <is>
          <t>Consultant + Client</t>
        </is>
      </c>
      <c r="H8" s="4" t="inlineStr">
        <is>
          <t>Open</t>
        </is>
      </c>
    </row>
    <row r="9">
      <c r="A9" s="6" t="n">
        <v>8</v>
      </c>
      <c r="B9" s="6" t="inlineStr">
        <is>
          <t>Adoption Risk</t>
        </is>
      </c>
      <c r="C9" s="12" t="inlineStr">
        <is>
          <t>LOW</t>
        </is>
      </c>
      <c r="D9" s="6" t="inlineStr">
        <is>
          <t>LOW</t>
        </is>
      </c>
      <c r="E9" s="6" t="inlineStr">
        <is>
          <t>Small team with Frank as champion reduces risk, but EA in India and real estate team may have different engagement levels; Jess described as "luddite" with technology</t>
        </is>
      </c>
      <c r="F9" s="6" t="inlineStr">
        <is>
          <t>Frank as internal champion; keep initial build simple; role-specific training sessions; defer complex features to Phase 2</t>
        </is>
      </c>
      <c r="G9" s="6" t="inlineStr">
        <is>
          <t>Client (Frank)</t>
        </is>
      </c>
      <c r="H9" s="6" t="inlineStr">
        <is>
          <t>Open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8" customWidth="1" min="1" max="1"/>
    <col width="90" customWidth="1" min="2" max="2"/>
    <col width="15" customWidth="1" min="3" max="3"/>
  </cols>
  <sheetData>
    <row r="1">
      <c r="A1" s="13" t="inlineStr">
        <is>
          <t>SCOPE ASSUMPTIONS</t>
        </is>
      </c>
      <c r="B1" s="14" t="n"/>
      <c r="C1" s="14" t="n"/>
    </row>
    <row r="2">
      <c r="A2" s="15" t="n">
        <v>1</v>
      </c>
      <c r="B2" s="4" t="inlineStr">
        <is>
          <t>HubSpot Sales Hub Professional tier for full workflow automation capability</t>
        </is>
      </c>
    </row>
    <row r="3">
      <c r="A3" s="15" t="n">
        <v>2</v>
      </c>
      <c r="B3" s="6" t="inlineStr">
        <is>
          <t>5 paid CRM seats (Frank, Pavel, Vijay, Philip, EA in India) + view-only access for Jess and Brian</t>
        </is>
      </c>
    </row>
    <row r="4">
      <c r="A4" s="15" t="n">
        <v>3</v>
      </c>
      <c r="B4" s="4" t="inlineStr">
        <is>
          <t>Microsoft 365 / Outlook as primary email and calendar platform for all users</t>
        </is>
      </c>
    </row>
    <row r="5">
      <c r="A5" s="15" t="n">
        <v>4</v>
      </c>
      <c r="B5" s="6" t="inlineStr">
        <is>
          <t>Up to 25 custom contact/company properties</t>
        </is>
      </c>
    </row>
    <row r="6">
      <c r="A6" s="15" t="n">
        <v>5</v>
      </c>
      <c r="B6" s="4" t="inlineStr">
        <is>
          <t>2 deal pipelines: M&amp;A (5 stages confirmed) and Real Estate (stages TBD)</t>
        </is>
      </c>
    </row>
    <row r="7">
      <c r="A7" s="15" t="n">
        <v>6</v>
      </c>
      <c r="B7" s="6" t="inlineStr">
        <is>
          <t>Up to 8 automated workflows</t>
        </is>
      </c>
    </row>
    <row r="8">
      <c r="A8" s="15" t="n">
        <v>7</v>
      </c>
      <c r="B8" s="4" t="inlineStr">
        <is>
          <t>2-3 reporting dashboards with up to 8 custom reports</t>
        </is>
      </c>
    </row>
    <row r="9">
      <c r="A9" s="15" t="n">
        <v>8</v>
      </c>
      <c r="B9" s="6" t="inlineStr">
        <is>
          <t>Under 1,000 contacts for initial import via client-populated Excel template</t>
        </is>
      </c>
    </row>
    <row r="10">
      <c r="A10" s="15" t="n">
        <v>9</v>
      </c>
      <c r="B10" s="4" t="inlineStr">
        <is>
          <t>1 test data load before final migration</t>
        </is>
      </c>
    </row>
    <row r="11">
      <c r="A11" s="15" t="n">
        <v>10</v>
      </c>
      <c r="B11" s="6" t="inlineStr">
        <is>
          <t>6-8 week implementation timeline</t>
        </is>
      </c>
    </row>
    <row r="12">
      <c r="A12" s="15" t="n">
        <v>11</v>
      </c>
      <c r="B12" s="4" t="inlineStr">
        <is>
          <t>Single-phase rollout covering both pipelines, contacts, and reporting</t>
        </is>
      </c>
    </row>
    <row r="13">
      <c r="A13" s="15" t="n">
        <v>12</v>
      </c>
      <c r="B13" s="6" t="inlineStr">
        <is>
          <t>Frank C is primary point of contact and internal CRM champion</t>
        </is>
      </c>
    </row>
    <row r="14">
      <c r="A14" s="15" t="n">
        <v>13</v>
      </c>
      <c r="B14" s="4" t="inlineStr">
        <is>
          <t>No call recording or meeting transcription tools (FINRA compliance)</t>
        </is>
      </c>
    </row>
    <row r="15">
      <c r="A15" s="15" t="n">
        <v>14</v>
      </c>
      <c r="B15" s="6" t="inlineStr">
        <is>
          <t>NDA tracking is manual (checkbox property on deal record); no e-signature integration</t>
        </is>
      </c>
    </row>
    <row r="16">
      <c r="A16" s="15" t="n">
        <v>15</v>
      </c>
      <c r="B16" s="4" t="inlineStr">
        <is>
          <t>Adobe Acrobat used for PDF signing externally to HubSpot</t>
        </is>
      </c>
    </row>
    <row r="18">
      <c r="A18" s="13" t="inlineStr">
        <is>
          <t>OUT OF SCOPE</t>
        </is>
      </c>
      <c r="B18" s="14" t="n"/>
      <c r="C18" s="14" t="n"/>
    </row>
    <row r="19">
      <c r="A19" s="15" t="n">
        <v>1</v>
      </c>
      <c r="B19" s="4" t="inlineStr">
        <is>
          <t>Marketing Hub features or marketing automation (email campaigns, sequences, landing pages)</t>
        </is>
      </c>
    </row>
    <row r="20">
      <c r="A20" s="15" t="n">
        <v>2</v>
      </c>
      <c r="B20" s="6" t="inlineStr">
        <is>
          <t>Investor communications and LP management (recommended as Phase 2 after Jess/Brian discovery)</t>
        </is>
      </c>
    </row>
    <row r="21">
      <c r="A21" s="15" t="n">
        <v>3</v>
      </c>
      <c r="B21" s="4" t="inlineStr">
        <is>
          <t>DocuSign or e-signature integration</t>
        </is>
      </c>
    </row>
    <row r="22">
      <c r="A22" s="15" t="n">
        <v>4</v>
      </c>
      <c r="B22" s="6" t="inlineStr">
        <is>
          <t>Call recording or meeting transcription (Fireflies, Gong, etc.) due to FINRA compliance</t>
        </is>
      </c>
    </row>
    <row r="23">
      <c r="A23" s="15" t="n">
        <v>5</v>
      </c>
      <c r="B23" s="4" t="inlineStr">
        <is>
          <t>PitchBook or third-party data enrichment tools</t>
        </is>
      </c>
    </row>
    <row r="24">
      <c r="A24" s="15" t="n">
        <v>6</v>
      </c>
      <c r="B24" s="6" t="inlineStr">
        <is>
          <t>Detailed diligence tracking (remains in Excel per client preference)</t>
        </is>
      </c>
    </row>
    <row r="25">
      <c r="A25" s="15" t="n">
        <v>7</v>
      </c>
      <c r="B25" s="4" t="inlineStr">
        <is>
          <t>Project management functionality beyond basic deal review tracking properties</t>
        </is>
      </c>
    </row>
    <row r="26">
      <c r="A26" s="15" t="n">
        <v>8</v>
      </c>
      <c r="B26" s="6" t="inlineStr">
        <is>
          <t>Custom API development or middleware (n8n/Zapier)</t>
        </is>
      </c>
    </row>
    <row r="27">
      <c r="A27" s="15" t="n">
        <v>9</v>
      </c>
      <c r="B27" s="4" t="inlineStr">
        <is>
          <t>HubSpot Service Hub or Operations Hub features</t>
        </is>
      </c>
    </row>
    <row r="28">
      <c r="A28" s="15" t="n">
        <v>10</v>
      </c>
      <c r="B28" s="6" t="inlineStr">
        <is>
          <t>LinkedIn Sales Navigator integration</t>
        </is>
      </c>
    </row>
    <row r="29">
      <c r="A29" s="15" t="n">
        <v>11</v>
      </c>
      <c r="B29" s="4" t="inlineStr">
        <is>
          <t>Ongoing managed services beyond 2-week hypercare period</t>
        </is>
      </c>
    </row>
    <row r="30">
      <c r="A30" s="15" t="n">
        <v>12</v>
      </c>
      <c r="B30" s="6" t="inlineStr">
        <is>
          <t>FINRA compliance audit (client responsibility with their compliance counsel)</t>
        </is>
      </c>
    </row>
    <row r="32">
      <c r="A32" s="13" t="inlineStr">
        <is>
          <t>CLIENT RESPONSIBILITIES</t>
        </is>
      </c>
      <c r="B32" s="14" t="n"/>
      <c r="C32" s="14" t="n"/>
    </row>
    <row r="33">
      <c r="A33" s="15" t="n">
        <v>1</v>
      </c>
      <c r="B33" s="4" t="inlineStr">
        <is>
          <t>Populate contact import Excel template with accurate data by Week 2</t>
        </is>
      </c>
    </row>
    <row r="34">
      <c r="A34" s="15" t="n">
        <v>2</v>
      </c>
      <c r="B34" s="6" t="inlineStr">
        <is>
          <t>Provide deal stage definitions for Real Estate pipeline (Vijay/Philip) before pipeline build begins</t>
        </is>
      </c>
    </row>
    <row r="35">
      <c r="A35" s="15" t="n">
        <v>3</v>
      </c>
      <c r="B35" s="4" t="inlineStr">
        <is>
          <t>Procure HubSpot Sales Hub Professional licenses before implementation begins</t>
        </is>
      </c>
    </row>
    <row r="36">
      <c r="A36" s="15" t="n">
        <v>4</v>
      </c>
      <c r="B36" s="6" t="inlineStr">
        <is>
          <t>Designate Frank C as primary point of contact for decisions and approvals</t>
        </is>
      </c>
    </row>
    <row r="37">
      <c r="A37" s="15" t="n">
        <v>5</v>
      </c>
      <c r="B37" s="4" t="inlineStr">
        <is>
          <t>Ensure team availability for training sessions (M&amp;A team, Real Estate team, EA)</t>
        </is>
      </c>
    </row>
    <row r="38">
      <c r="A38" s="15" t="n">
        <v>6</v>
      </c>
      <c r="B38" s="6" t="inlineStr">
        <is>
          <t>Review HubSpot configuration with FINRA compliance counsel before go-live</t>
        </is>
      </c>
    </row>
    <row r="39">
      <c r="A39" s="15" t="n">
        <v>7</v>
      </c>
      <c r="B39" s="4" t="inlineStr">
        <is>
          <t>Obtain SOW sign-off from budget authority (Jess/Brian)</t>
        </is>
      </c>
    </row>
    <row r="40">
      <c r="A40" s="15" t="n">
        <v>8</v>
      </c>
      <c r="B40" s="6" t="inlineStr">
        <is>
          <t>Provide M365 admin access for Outlook integration setup</t>
        </is>
      </c>
    </row>
    <row r="41">
      <c r="A41" s="15" t="n">
        <v>9</v>
      </c>
      <c r="B41" s="4" t="inlineStr">
        <is>
          <t>Complete UAT testing within agreed timeline</t>
        </is>
      </c>
    </row>
    <row r="42">
      <c r="A42" s="15" t="n">
        <v>10</v>
      </c>
      <c r="B42" s="6" t="inlineStr">
        <is>
          <t>Champion CRM adoption internally - Frank must set expectations for team usage</t>
        </is>
      </c>
    </row>
    <row r="44">
      <c r="A44" s="13" t="inlineStr">
        <is>
          <t>OPEN ITEMS</t>
        </is>
      </c>
      <c r="B44" s="14" t="n"/>
      <c r="C44" s="14" t="n"/>
    </row>
    <row r="45">
      <c r="A45" s="15" t="n">
        <v>1</v>
      </c>
      <c r="B45" s="4" t="inlineStr">
        <is>
          <t>Real estate pipeline stages - discovery call with Vijay and Philip required</t>
        </is>
      </c>
    </row>
    <row r="46">
      <c r="A46" s="15" t="n">
        <v>2</v>
      </c>
      <c r="B46" s="6" t="inlineStr">
        <is>
          <t>Investor comms / LP management requirements - discovery call with Jess and Brian required (Phase 2)</t>
        </is>
      </c>
    </row>
    <row r="47">
      <c r="A47" s="15" t="n">
        <v>3</v>
      </c>
      <c r="B47" s="4" t="inlineStr">
        <is>
          <t>Exact contact volume across all categories (deal sourcing, vendors, LPs, lenders)</t>
        </is>
      </c>
    </row>
    <row r="48">
      <c r="A48" s="15" t="n">
        <v>4</v>
      </c>
      <c r="B48" s="6" t="inlineStr">
        <is>
          <t>Target company list volume for company lifecycle stage tracking</t>
        </is>
      </c>
    </row>
    <row r="49">
      <c r="A49" s="15" t="n">
        <v>5</v>
      </c>
      <c r="B49" s="4" t="inlineStr">
        <is>
          <t>FINRA compliance review of HubSpot email tracking and data residency</t>
        </is>
      </c>
    </row>
    <row r="50">
      <c r="A50" s="15" t="n">
        <v>6</v>
      </c>
      <c r="B50" s="6" t="inlineStr">
        <is>
          <t>EA in India - specific CRM tasks and required access level</t>
        </is>
      </c>
    </row>
    <row r="51">
      <c r="A51" s="15" t="n">
        <v>7</v>
      </c>
      <c r="B51" s="4" t="inlineStr">
        <is>
          <t>Confirm budget authority sign-off process (Frank verbal vs. Jess/Brian written)</t>
        </is>
      </c>
    </row>
    <row r="52">
      <c r="A52" s="15" t="n">
        <v>8</v>
      </c>
      <c r="B52" s="6" t="inlineStr">
        <is>
          <t>HubSpot licensing negotiation timing and discount strategy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55" customWidth="1" min="3" max="3"/>
  </cols>
  <sheetData>
    <row r="1">
      <c r="A1" s="16" t="inlineStr">
        <is>
          <t>Implementation Approach Comparison: Arkview Capital CRM</t>
        </is>
      </c>
    </row>
    <row r="3">
      <c r="A3" s="3" t="inlineStr">
        <is>
          <t>Dimension</t>
        </is>
      </c>
      <c r="B3" s="3" t="inlineStr">
        <is>
          <t>Approach A: Single Phase (Recommended)</t>
        </is>
      </c>
      <c r="C3" s="3" t="inlineStr">
        <is>
          <t>Approach B: Two-Phase Split</t>
        </is>
      </c>
    </row>
    <row r="4">
      <c r="A4" s="4" t="inlineStr">
        <is>
          <t>Description</t>
        </is>
      </c>
      <c r="B4" s="4" t="inlineStr">
        <is>
          <t>All workstreams delivered in one phase: both pipelines, contacts, Outlook integration, reporting, training in single 6-8 week engagement</t>
        </is>
      </c>
      <c r="C4" s="4" t="inlineStr">
        <is>
          <t>Phase 1 (Weeks 1-5): M&amp;A pipeline + contacts + Outlook integration
Phase 2 (Weeks 6-10): Real estate pipeline + additional reporting + optional marketing intro</t>
        </is>
      </c>
    </row>
    <row r="5">
      <c r="A5" s="6" t="inlineStr">
        <is>
          <t>Total Hours (Median)</t>
        </is>
      </c>
      <c r="B5" s="6" t="inlineStr">
        <is>
          <t>~121 hrs</t>
        </is>
      </c>
      <c r="C5" s="6" t="inlineStr">
        <is>
          <t>~131 hrs (+~10 hrs for duplicate PM, re-onboarding, context switching)</t>
        </is>
      </c>
    </row>
    <row r="6">
      <c r="A6" s="4" t="inlineStr">
        <is>
          <t>Timeline</t>
        </is>
      </c>
      <c r="B6" s="4" t="inlineStr">
        <is>
          <t>6-8 weeks</t>
        </is>
      </c>
      <c r="C6" s="4" t="inlineStr">
        <is>
          <t>Phase 1: 5 weeks + Phase 2: 4-5 weeks = 9-10 weeks total</t>
        </is>
      </c>
    </row>
    <row r="7">
      <c r="A7" s="6" t="inlineStr">
        <is>
          <t>Risk Level</t>
        </is>
      </c>
      <c r="B7" s="6" t="inlineStr">
        <is>
          <t>LOW-MEDIUM -- small team, straightforward scope, single engagement reduces context loss</t>
        </is>
      </c>
      <c r="C7" s="6" t="inlineStr">
        <is>
          <t>LOW per phase but higher total risk from context switching and momentum loss between phases</t>
        </is>
      </c>
    </row>
    <row r="8">
      <c r="A8" s="4" t="inlineStr">
        <is>
          <t>Cost Efficiency</t>
        </is>
      </c>
      <c r="B8" s="4" t="inlineStr">
        <is>
          <t>More efficient -- single kickoff, single UAT cycle, no re-onboarding</t>
        </is>
      </c>
      <c r="C8" s="4" t="inlineStr">
        <is>
          <t>Less efficient -- duplicate PM overhead, second kickoff, risk of Phase 2 deprioritization</t>
        </is>
      </c>
    </row>
    <row r="9">
      <c r="A9" s="6" t="inlineStr">
        <is>
          <t>Adoption Impact</t>
        </is>
      </c>
      <c r="B9" s="6" t="inlineStr">
        <is>
          <t>Team learns full system at once; Frank as champion can drive adoption across all features simultaneously</t>
        </is>
      </c>
      <c r="C9" s="6" t="inlineStr">
        <is>
          <t>M&amp;A team gets CRM first; real estate team waits, may lose interest or revert to Excel habits</t>
        </is>
      </c>
    </row>
    <row r="10">
      <c r="A10" s="4" t="inlineStr">
        <is>
          <t>Dependency Risk</t>
        </is>
      </c>
      <c r="B10" s="4" t="inlineStr">
        <is>
          <t>Requires real estate pipeline discovery (Vijay/Philip) before project start</t>
        </is>
      </c>
      <c r="C10" s="4" t="inlineStr">
        <is>
          <t>Can start Phase 1 immediately without real estate discovery; buys time for that conversation</t>
        </is>
      </c>
    </row>
    <row r="11">
      <c r="A11" s="6" t="inlineStr">
        <is>
          <t>Client Resource Demand</t>
        </is>
      </c>
      <c r="B11" s="6" t="inlineStr">
        <is>
          <t>Moderate -- all discovery upfront, all training in one push; 5-person team makes scheduling manageable</t>
        </is>
      </c>
      <c r="C11" s="6" t="inlineStr">
        <is>
          <t>Light per phase but spread over longer period; risk of stakeholder fatigue</t>
        </is>
      </c>
    </row>
    <row r="12">
      <c r="A12" s="4" t="inlineStr">
        <is>
          <t>Budget Sensitivity</t>
        </is>
      </c>
      <c r="B12" s="4" t="inlineStr">
        <is>
          <t>Single invoice or milestone payments over 6-8 weeks; total investment visible upfront</t>
        </is>
      </c>
      <c r="C12" s="4" t="inlineStr">
        <is>
          <t>Smaller Phase 1 invoice may be easier for Jess to approve; Phase 2 can be deferred if budget tightens</t>
        </is>
      </c>
    </row>
    <row r="14">
      <c r="A14" s="13" t="inlineStr">
        <is>
          <t>RECOMMENDATION</t>
        </is>
      </c>
    </row>
    <row r="15" ht="120" customHeight="1">
      <c r="A15" s="17" t="inlineStr">
        <is>
          <t>Single-phase approach (Approach A) is recommended for Arkview Capital, CONTINGENT on completing the real estate pipeline discovery call with Vijay and Philip before project kickoff. With only 5 users on a small fund team, the coordination overhead of a two-phase split outweighs the benefits. Frank is a strong internal champion who can drive simultaneous adoption across both pipelines. The single-phase approach also avoids the risk of Phase 2 deprioritization -- given Jess's cost sensitivity, there is a real chance Phase 2 never happens if Phase 1 doesn't immediately prove ROI. Building everything at once ensures the real estate team (Vijay/Philip) doesn't feel like second-class citizens and has CRM access from day one.
HOWEVER: If the real estate discovery call cannot be scheduled within 2 weeks of SOW signing, fall back to Approach B to avoid blocking the M&amp;A team. In that case, Phase 1 should include a placeholder real estate pipeline with generic stages that can be refined in Phase 2.</t>
        </is>
      </c>
    </row>
  </sheetData>
  <mergeCells count="3">
    <mergeCell ref="A1:C1"/>
    <mergeCell ref="A14:C14"/>
    <mergeCell ref="A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2026-03-02T18:13:48Z</dcterms:created>
  <dcterms:modified xmlns:dcterms="http://purl.org/dc/terms/" xmlns:xsi="http://www.w3.org/2001/XMLSchema-instance" xsi:type="dcterms:W3CDTF">2026-03-02T22:15:43Z</dcterms:modified>
</cp:coreProperties>
</file>